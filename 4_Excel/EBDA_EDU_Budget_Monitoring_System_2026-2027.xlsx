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ECB1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وازنة دمياط" sheetId="1" state="visible" r:id="rId1"/>
    <sheet xmlns:r="http://schemas.openxmlformats.org/officeDocument/2006/relationships" name="موازنة بدر" sheetId="2" state="visible" r:id="rId2"/>
    <sheet xmlns:r="http://schemas.openxmlformats.org/officeDocument/2006/relationships" name="التحليل" sheetId="3" state="visible" r:id="rId3"/>
  </sheets>
  <externalReferences>
    <externalReference xmlns:r="http://schemas.openxmlformats.org/officeDocument/2006/relationships" r:id="rId4"/>
  </externalReference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#,##0;[Red]&quot;عجز &quot;#,##0;&quot;-&quot;"/>
    <numFmt numFmtId="166" formatCode="0.0%;-0.0%;&quot;-&quot;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B5563"/>
      <sz val="9"/>
    </font>
    <font>
      <name val="Arial"/>
      <b val="1"/>
      <color rgb="00FFFFFF"/>
      <sz val="9"/>
    </font>
    <font>
      <name val="Arial"/>
      <b val="1"/>
      <color rgb="0034495E"/>
      <sz val="14"/>
    </font>
    <font>
      <name val="Arial"/>
      <b val="1"/>
      <color rgb="002E75B6"/>
      <sz val="14"/>
    </font>
    <font>
      <name val="Arial"/>
      <b val="1"/>
      <color rgb="00548235"/>
      <sz val="14"/>
    </font>
    <font>
      <name val="Arial"/>
      <b val="1"/>
      <color rgb="007D3C98"/>
      <sz val="14"/>
    </font>
    <font>
      <name val="Arial"/>
      <b val="1"/>
      <color rgb="00C0392B"/>
      <sz val="14"/>
    </font>
    <font>
      <name val="Arial"/>
      <color rgb="001F2937"/>
      <sz val="10"/>
    </font>
    <font>
      <name val="Arial"/>
      <b val="1"/>
      <color rgb="00FFFFFF"/>
      <sz val="10"/>
    </font>
    <font>
      <name val="Arial"/>
      <b val="1"/>
      <color rgb="001F2937"/>
      <sz val="10"/>
    </font>
    <font>
      <name val="Arial"/>
      <color rgb="001F2937"/>
      <sz val="9"/>
    </font>
    <font>
      <name val="Arial"/>
      <b val="1"/>
      <color rgb="001F2937"/>
      <sz val="9"/>
    </font>
    <font>
      <name val="Arial"/>
      <i val="1"/>
      <color rgb="00833C0B"/>
      <sz val="9"/>
    </font>
    <font>
      <name val="Arial"/>
      <i val="1"/>
      <color rgb="006B7280"/>
      <sz val="9"/>
    </font>
  </fonts>
  <fills count="14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F4F6F8"/>
        <bgColor rgb="00F4F6F8"/>
      </patternFill>
    </fill>
    <fill>
      <patternFill patternType="solid">
        <fgColor rgb="002E75B6"/>
        <bgColor rgb="002E75B6"/>
      </patternFill>
    </fill>
    <fill>
      <patternFill patternType="solid">
        <fgColor rgb="00548235"/>
        <bgColor rgb="00548235"/>
      </patternFill>
    </fill>
    <fill>
      <patternFill patternType="solid">
        <fgColor rgb="007D3C98"/>
        <bgColor rgb="007D3C98"/>
      </patternFill>
    </fill>
    <fill>
      <patternFill patternType="solid">
        <fgColor rgb="00C0392B"/>
        <bgColor rgb="00C0392B"/>
      </patternFill>
    </fill>
    <fill>
      <patternFill patternType="solid">
        <fgColor rgb="003D5A73"/>
        <bgColor rgb="003D5A73"/>
      </patternFill>
    </fill>
    <fill>
      <patternFill patternType="solid">
        <fgColor rgb="004F6D87"/>
        <bgColor rgb="004F6D87"/>
      </patternFill>
    </fill>
    <fill>
      <patternFill patternType="solid">
        <fgColor rgb="005D6D7E"/>
        <bgColor rgb="005D6D7E"/>
      </patternFill>
    </fill>
    <fill>
      <patternFill patternType="solid">
        <fgColor rgb="00FFFDF2"/>
        <bgColor rgb="00FFFDF2"/>
      </patternFill>
    </fill>
    <fill>
      <patternFill patternType="solid">
        <fgColor rgb="00E8EEF4"/>
        <bgColor rgb="00E8EEF4"/>
      </patternFill>
    </fill>
    <fill>
      <patternFill patternType="solid">
        <fgColor rgb="00C55A11"/>
        <bgColor rgb="00C55A1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165" fontId="6" fillId="3" borderId="1" applyAlignment="1" pivotButton="0" quotePrefix="0" xfId="0">
      <alignment horizontal="center" vertical="center" wrapText="1"/>
    </xf>
    <xf numFmtId="166" fontId="7" fillId="3" borderId="1" applyAlignment="1" pivotButton="0" quotePrefix="0" xfId="0">
      <alignment horizontal="center" vertical="center" wrapText="1"/>
    </xf>
    <xf numFmtId="1" fontId="8" fillId="3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9" fillId="2" borderId="1" applyAlignment="1" pivotButton="0" quotePrefix="0" xfId="0">
      <alignment horizontal="righ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1" fillId="11" borderId="1" applyAlignment="1" applyProtection="1" pivotButton="0" quotePrefix="0" xfId="0">
      <alignment horizontal="right" vertical="center" wrapText="1"/>
      <protection locked="0" hidden="0"/>
    </xf>
    <xf numFmtId="164" fontId="9" fillId="11" borderId="1" applyAlignment="1" applyProtection="1" pivotButton="0" quotePrefix="0" xfId="0">
      <alignment horizontal="right" vertical="center" wrapText="1"/>
      <protection locked="0" hidden="0"/>
    </xf>
    <xf numFmtId="164" fontId="9" fillId="3" borderId="1" applyAlignment="1" pivotButton="0" quotePrefix="0" xfId="0">
      <alignment horizontal="right" vertical="center" wrapText="1"/>
    </xf>
    <xf numFmtId="164" fontId="12" fillId="11" borderId="1" applyAlignment="1" applyProtection="1" pivotButton="0" quotePrefix="0" xfId="0">
      <alignment horizontal="right" vertical="center" wrapText="1"/>
      <protection locked="0" hidden="0"/>
    </xf>
    <xf numFmtId="164" fontId="12" fillId="0" borderId="1" applyAlignment="1" pivotButton="0" quotePrefix="0" xfId="0">
      <alignment horizontal="right" vertical="center" wrapText="1"/>
    </xf>
    <xf numFmtId="165" fontId="12" fillId="3" borderId="1" applyAlignment="1" pivotButton="0" quotePrefix="0" xfId="0">
      <alignment horizontal="right" vertical="center" wrapText="1"/>
    </xf>
    <xf numFmtId="164" fontId="11" fillId="3" borderId="1" applyAlignment="1" pivotButton="0" quotePrefix="0" xfId="0">
      <alignment horizontal="right" vertical="center" wrapText="1"/>
    </xf>
    <xf numFmtId="165" fontId="11" fillId="3" borderId="1" applyAlignment="1" pivotButton="0" quotePrefix="0" xfId="0">
      <alignment horizontal="right" vertical="center" wrapText="1"/>
    </xf>
    <xf numFmtId="0" fontId="11" fillId="12" borderId="1" applyAlignment="1" pivotButton="0" quotePrefix="0" xfId="0">
      <alignment horizontal="right" vertical="center" wrapText="1"/>
    </xf>
    <xf numFmtId="164" fontId="13" fillId="12" borderId="1" applyAlignment="1" pivotButton="0" quotePrefix="0" xfId="0">
      <alignment horizontal="right" vertical="center" wrapText="1"/>
    </xf>
    <xf numFmtId="165" fontId="13" fillId="12" borderId="1" applyAlignment="1" pivotButton="0" quotePrefix="0" xfId="0">
      <alignment horizontal="right" vertical="center" wrapText="1"/>
    </xf>
    <xf numFmtId="0" fontId="10" fillId="13" borderId="0" applyAlignment="1" pivotButton="0" quotePrefix="0" xfId="0">
      <alignment horizontal="right" vertical="center" wrapText="1"/>
    </xf>
    <xf numFmtId="0" fontId="10" fillId="2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right" vertical="center" wrapText="1"/>
    </xf>
    <xf numFmtId="165" fontId="9" fillId="0" borderId="1" applyAlignment="1" pivotButton="0" quotePrefix="0" xfId="0">
      <alignment horizontal="right" vertical="center" wrapText="1"/>
    </xf>
    <xf numFmtId="166" fontId="9" fillId="0" borderId="1" applyAlignment="1" pivotButton="0" quotePrefix="0" xfId="0">
      <alignment horizontal="center" vertical="center" wrapText="1"/>
    </xf>
    <xf numFmtId="1" fontId="9" fillId="0" borderId="1" applyAlignment="1" pivotButton="0" quotePrefix="0" xfId="0">
      <alignment horizontal="center" vertical="center" wrapText="1"/>
    </xf>
    <xf numFmtId="164" fontId="11" fillId="12" borderId="1" applyAlignment="1" pivotButton="0" quotePrefix="0" xfId="0">
      <alignment horizontal="right" vertical="center" wrapText="1"/>
    </xf>
    <xf numFmtId="166" fontId="11" fillId="12" borderId="1" applyAlignment="1" pivotButton="0" quotePrefix="0" xfId="0">
      <alignment horizontal="center" vertical="center" wrapText="1"/>
    </xf>
    <xf numFmtId="1" fontId="11" fillId="12" borderId="1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right" vertical="center" wrapText="1"/>
    </xf>
    <xf numFmtId="165" fontId="11" fillId="0" borderId="1" applyAlignment="1" pivotButton="0" quotePrefix="0" xfId="0">
      <alignment horizontal="right" vertical="center" wrapText="1"/>
    </xf>
    <xf numFmtId="165" fontId="11" fillId="12" borderId="1" applyAlignment="1" pivotButton="0" quotePrefix="0" xfId="0">
      <alignment horizontal="right" vertical="center" wrapText="1"/>
    </xf>
    <xf numFmtId="0" fontId="10" fillId="7" borderId="0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165" fontId="12" fillId="0" borderId="1" applyAlignment="1" pivotButton="0" quotePrefix="0" xfId="0">
      <alignment horizontal="right" vertical="center" wrapText="1"/>
    </xf>
    <xf numFmtId="1" fontId="12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right" vertical="center" wrapText="1"/>
    </xf>
    <xf numFmtId="0" fontId="10" fillId="4" borderId="0" applyAlignment="1" pivotButton="0" quotePrefix="0" xfId="0">
      <alignment horizontal="right" vertical="center" wrapText="1"/>
    </xf>
    <xf numFmtId="166" fontId="1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ont>
        <name val="Arial"/>
        <b val="1"/>
        <color rgb="009C0006"/>
      </font>
      <fill>
        <patternFill patternType="solid">
          <fgColor rgb="00FBE3E3"/>
          <bgColor rgb="00FBE3E3"/>
        </patternFill>
      </fill>
    </dxf>
    <dxf>
      <font>
        <name val="Arial"/>
        <b val="1"/>
        <color rgb="00833C0B"/>
      </font>
      <fill>
        <patternFill patternType="solid">
          <fgColor rgb="00FCE4D6"/>
          <b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دمياط مقابل بدر: الموازنة والمنصرف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'التحليل'!B5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'التحليل'!$A$6:$A$7</f>
            </numRef>
          </cat>
          <val>
            <numRef>
              <f>'التحليل'!$B$6:$B$7</f>
            </numRef>
          </val>
        </ser>
        <ser>
          <idx val="1"/>
          <order val="1"/>
          <tx>
            <strRef>
              <f>'التحليل'!C5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'التحليل'!$A$6:$A$7</f>
            </numRef>
          </cat>
          <val>
            <numRef>
              <f>'التحليل'!$C$6:$C$7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شهريًا: المخصص مقابل المنصرف (المدرستان)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'التحليل'!H13</f>
            </strRef>
          </tx>
          <spPr>
            <a:ln xmlns:a="http://schemas.openxmlformats.org/drawingml/2006/main">
              <a:prstDash val="solid"/>
            </a:ln>
          </spPr>
          <cat>
            <numRef>
              <f>'التحليل'!$A$14:$A$25</f>
            </numRef>
          </cat>
          <val>
            <numRef>
              <f>'التحليل'!$H$14:$H$25</f>
            </numRef>
          </val>
        </ser>
        <ser>
          <idx val="1"/>
          <order val="1"/>
          <tx>
            <strRef>
              <f>'التحليل'!I13</f>
            </strRef>
          </tx>
          <spPr>
            <a:ln xmlns:a="http://schemas.openxmlformats.org/drawingml/2006/main">
              <a:prstDash val="solid"/>
            </a:ln>
          </spPr>
          <cat>
            <numRef>
              <f>'التحليل'!$A$14:$A$25</f>
            </numRef>
          </cat>
          <val>
            <numRef>
              <f>'التحليل'!$I$14:$I$25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12</col>
      <colOff>0</colOff>
      <row>3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18</row>
      <rowOff>0</rowOff>
    </from>
    <ext cx="648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EBDA_EDU_Expense_Custody_System_2026-2027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عهد ومصروفات دمياط"/>
      <sheetName val="عهد ومصروفات بدر"/>
    </sheetNames>
  </externalBook>
</externalLink>
</file>

<file path=xl/tables/table1.xml><?xml version="1.0" encoding="utf-8"?>
<table xmlns="http://schemas.openxmlformats.org/spreadsheetml/2006/main" id="1" name="tblBudgetDMT" displayName="tblBudgetDMT" ref="A7:AP67" headerRowCount="1">
  <autoFilter ref="A7:AP67"/>
  <tableColumns count="42">
    <tableColumn id="1" name="البند"/>
    <tableColumn id="2" name="المخصص السنوي"/>
    <tableColumn id="3" name="المخصص الشهري"/>
    <tableColumn id="4" name="سبتمبر 2026 مخصص"/>
    <tableColumn id="5" name="سبتمبر 2026 منصرف"/>
    <tableColumn id="6" name="سبتمبر 2026 متبقي/عجز"/>
    <tableColumn id="7" name="أكتوبر 2026 مخصص"/>
    <tableColumn id="8" name="أكتوبر 2026 منصرف"/>
    <tableColumn id="9" name="أكتوبر 2026 متبقي/عجز"/>
    <tableColumn id="10" name="نوفمبر 2026 مخصص"/>
    <tableColumn id="11" name="نوفمبر 2026 منصرف"/>
    <tableColumn id="12" name="نوفمبر 2026 متبقي/عجز"/>
    <tableColumn id="13" name="ديسمبر 2026 مخصص"/>
    <tableColumn id="14" name="ديسمبر 2026 منصرف"/>
    <tableColumn id="15" name="ديسمبر 2026 متبقي/عجز"/>
    <tableColumn id="16" name="يناير 2027 مخصص"/>
    <tableColumn id="17" name="يناير 2027 منصرف"/>
    <tableColumn id="18" name="يناير 2027 متبقي/عجز"/>
    <tableColumn id="19" name="فبراير 2027 مخصص"/>
    <tableColumn id="20" name="فبراير 2027 منصرف"/>
    <tableColumn id="21" name="فبراير 2027 متبقي/عجز"/>
    <tableColumn id="22" name="مارس 2027 مخصص"/>
    <tableColumn id="23" name="مارس 2027 منصرف"/>
    <tableColumn id="24" name="مارس 2027 متبقي/عجز"/>
    <tableColumn id="25" name="أبريل 2027 مخصص"/>
    <tableColumn id="26" name="أبريل 2027 منصرف"/>
    <tableColumn id="27" name="أبريل 2027 متبقي/عجز"/>
    <tableColumn id="28" name="مايو 2027 مخصص"/>
    <tableColumn id="29" name="مايو 2027 منصرف"/>
    <tableColumn id="30" name="مايو 2027 متبقي/عجز"/>
    <tableColumn id="31" name="يونيو 2027 مخصص"/>
    <tableColumn id="32" name="يونيو 2027 منصرف"/>
    <tableColumn id="33" name="يونيو 2027 متبقي/عجز"/>
    <tableColumn id="34" name="يوليو 2027 مخصص"/>
    <tableColumn id="35" name="يوليو 2027 منصرف"/>
    <tableColumn id="36" name="يوليو 2027 متبقي/عجز"/>
    <tableColumn id="37" name="أغسطس 2027 مخصص"/>
    <tableColumn id="38" name="أغسطس 2027 منصرف"/>
    <tableColumn id="39" name="أغسطس 2027 متبقي/عجز"/>
    <tableColumn id="40" name="إجمالي المخصص السنوي"/>
    <tableColumn id="41" name="إجمالي المنصرف السنوي"/>
    <tableColumn id="42" name="المتبقي أو العجز السنوي"/>
  </tableColumns>
  <tableStyleInfo name="TableStyleLight15" showRowStripes="0"/>
</table>
</file>

<file path=xl/tables/table2.xml><?xml version="1.0" encoding="utf-8"?>
<table xmlns="http://schemas.openxmlformats.org/spreadsheetml/2006/main" id="2" name="tblBudgetBDR" displayName="tblBudgetBDR" ref="A7:AP67" headerRowCount="1">
  <autoFilter ref="A7:AP67"/>
  <tableColumns count="42">
    <tableColumn id="1" name="البند"/>
    <tableColumn id="2" name="المخصص السنوي"/>
    <tableColumn id="3" name="المخصص الشهري"/>
    <tableColumn id="4" name="سبتمبر 2026 مخصص"/>
    <tableColumn id="5" name="سبتمبر 2026 منصرف"/>
    <tableColumn id="6" name="سبتمبر 2026 متبقي/عجز"/>
    <tableColumn id="7" name="أكتوبر 2026 مخصص"/>
    <tableColumn id="8" name="أكتوبر 2026 منصرف"/>
    <tableColumn id="9" name="أكتوبر 2026 متبقي/عجز"/>
    <tableColumn id="10" name="نوفمبر 2026 مخصص"/>
    <tableColumn id="11" name="نوفمبر 2026 منصرف"/>
    <tableColumn id="12" name="نوفمبر 2026 متبقي/عجز"/>
    <tableColumn id="13" name="ديسمبر 2026 مخصص"/>
    <tableColumn id="14" name="ديسمبر 2026 منصرف"/>
    <tableColumn id="15" name="ديسمبر 2026 متبقي/عجز"/>
    <tableColumn id="16" name="يناير 2027 مخصص"/>
    <tableColumn id="17" name="يناير 2027 منصرف"/>
    <tableColumn id="18" name="يناير 2027 متبقي/عجز"/>
    <tableColumn id="19" name="فبراير 2027 مخصص"/>
    <tableColumn id="20" name="فبراير 2027 منصرف"/>
    <tableColumn id="21" name="فبراير 2027 متبقي/عجز"/>
    <tableColumn id="22" name="مارس 2027 مخصص"/>
    <tableColumn id="23" name="مارس 2027 منصرف"/>
    <tableColumn id="24" name="مارس 2027 متبقي/عجز"/>
    <tableColumn id="25" name="أبريل 2027 مخصص"/>
    <tableColumn id="26" name="أبريل 2027 منصرف"/>
    <tableColumn id="27" name="أبريل 2027 متبقي/عجز"/>
    <tableColumn id="28" name="مايو 2027 مخصص"/>
    <tableColumn id="29" name="مايو 2027 منصرف"/>
    <tableColumn id="30" name="مايو 2027 متبقي/عجز"/>
    <tableColumn id="31" name="يونيو 2027 مخصص"/>
    <tableColumn id="32" name="يونيو 2027 منصرف"/>
    <tableColumn id="33" name="يونيو 2027 متبقي/عجز"/>
    <tableColumn id="34" name="يوليو 2027 مخصص"/>
    <tableColumn id="35" name="يوليو 2027 منصرف"/>
    <tableColumn id="36" name="يوليو 2027 متبقي/عجز"/>
    <tableColumn id="37" name="أغسطس 2027 مخصص"/>
    <tableColumn id="38" name="أغسطس 2027 منصرف"/>
    <tableColumn id="39" name="أغسطس 2027 متبقي/عجز"/>
    <tableColumn id="40" name="إجمالي المخصص السنوي"/>
    <tableColumn id="41" name="إجمالي المنصرف السنوي"/>
    <tableColumn id="42" name="المتبقي أو العجز السنوي"/>
  </tableColumns>
  <tableStyleInfo name="TableStyleLight15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AU68"/>
  <sheetViews>
    <sheetView showGridLines="0" rightToLeft="1" zoomScale="85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2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  <col width="10.5" customWidth="1" min="39" max="39"/>
    <col width="14" customWidth="1" min="40" max="40"/>
    <col width="14" customWidth="1" min="41" max="41"/>
    <col width="14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</cols>
  <sheetData>
    <row r="1" ht="28" customHeight="1">
      <c r="A1" s="1" t="inlineStr">
        <is>
          <t>موازنة مدرسة ابدأ الوطنية – دمياط  |  السنة المالية سبتمبر 2026 – أغسطس 2027  (ج.م)</t>
        </is>
      </c>
    </row>
    <row r="2" ht="30" customHeight="1">
      <c r="A2" s="2" t="inlineStr">
        <is>
          <t>الخلايا الصفراء الفاتحة فقط للإدخال (البند، المخصص السنوي، مخصص كل شهر). «المنصرف» يُحسب تلقائيًا من ملف العهد والمصروفات (شيت «عهد ومصروفات دمياط» – المصروفات التي وافق عليها المدير المباشر). المتبقي/العجز = المخصص − المنصرف، والعجز يظهر بالأحمر. لإضافة بند جديد اكتبه في أول صف فارغ.</t>
        </is>
      </c>
    </row>
    <row r="3" ht="22" customHeight="1">
      <c r="A3" s="3" t="inlineStr">
        <is>
          <t>المخصص السنوي</t>
        </is>
      </c>
      <c r="B3" s="4" t="inlineStr">
        <is>
          <t>إجمالي المنصرف</t>
        </is>
      </c>
      <c r="C3" s="5" t="n"/>
      <c r="D3" s="6" t="inlineStr">
        <is>
          <t>المتبقي / العجز السنوي</t>
        </is>
      </c>
      <c r="E3" s="5" t="n"/>
      <c r="F3" s="5" t="n"/>
      <c r="G3" s="7" t="inlineStr">
        <is>
          <t>نسبة الصرف من الموازنة</t>
        </is>
      </c>
      <c r="H3" s="5" t="n"/>
      <c r="I3" s="5" t="n"/>
      <c r="J3" s="8" t="inlineStr">
        <is>
          <t>بنود بها عجز</t>
        </is>
      </c>
      <c r="K3" s="5" t="n"/>
      <c r="L3" s="5" t="n"/>
    </row>
    <row r="4" ht="28" customHeight="1">
      <c r="A4" s="9">
        <f>SUM($B$8:$B$67)</f>
        <v/>
      </c>
      <c r="B4" s="10">
        <f>SUM($AO$8:$AO$67)</f>
        <v/>
      </c>
      <c r="C4" s="5" t="n"/>
      <c r="D4" s="11">
        <f>SUM($B$8:$B$67)-SUM($AO$8:$AO$67)</f>
        <v/>
      </c>
      <c r="E4" s="5" t="n"/>
      <c r="F4" s="5" t="n"/>
      <c r="G4" s="12">
        <f>IF(SUM($B$8:$B$67)=0,0,SUM($AO$8:$AO$67)/SUM($B$8:$B$67))</f>
        <v/>
      </c>
      <c r="H4" s="5" t="n"/>
      <c r="I4" s="5" t="n"/>
      <c r="J4" s="13">
        <f>COUNTIF($AS$8:$AS$67,1)</f>
        <v/>
      </c>
      <c r="K4" s="5" t="n"/>
      <c r="L4" s="5" t="n"/>
    </row>
    <row r="5">
      <c r="M5" s="14" t="inlineStr">
        <is>
          <t>■ برتقالي في «إجمالي المخصص السنوي» = مجموع الأشهر لا يساوي المخصص السنوي (من الملف الأصلي) · ■ أحمر في اسم البند = يوجد عجز</t>
        </is>
      </c>
    </row>
    <row r="6" ht="20" customHeight="1">
      <c r="A6" s="15" t="n"/>
      <c r="B6" s="15" t="n"/>
      <c r="C6" s="15" t="n"/>
      <c r="D6" s="16" t="inlineStr">
        <is>
          <t>سبتمبر 2026</t>
        </is>
      </c>
      <c r="E6" s="5" t="n"/>
      <c r="F6" s="5" t="n"/>
      <c r="G6" s="17" t="inlineStr">
        <is>
          <t>أكتوبر 2026</t>
        </is>
      </c>
      <c r="H6" s="5" t="n"/>
      <c r="I6" s="5" t="n"/>
      <c r="J6" s="16" t="inlineStr">
        <is>
          <t>نوفمبر 2026</t>
        </is>
      </c>
      <c r="K6" s="5" t="n"/>
      <c r="L6" s="5" t="n"/>
      <c r="M6" s="17" t="inlineStr">
        <is>
          <t>ديسمبر 2026</t>
        </is>
      </c>
      <c r="N6" s="5" t="n"/>
      <c r="O6" s="5" t="n"/>
      <c r="P6" s="16" t="inlineStr">
        <is>
          <t>يناير 2027</t>
        </is>
      </c>
      <c r="Q6" s="5" t="n"/>
      <c r="R6" s="5" t="n"/>
      <c r="S6" s="17" t="inlineStr">
        <is>
          <t>فبراير 2027</t>
        </is>
      </c>
      <c r="T6" s="5" t="n"/>
      <c r="U6" s="5" t="n"/>
      <c r="V6" s="16" t="inlineStr">
        <is>
          <t>مارس 2027</t>
        </is>
      </c>
      <c r="W6" s="5" t="n"/>
      <c r="X6" s="5" t="n"/>
      <c r="Y6" s="17" t="inlineStr">
        <is>
          <t>أبريل 2027</t>
        </is>
      </c>
      <c r="Z6" s="5" t="n"/>
      <c r="AA6" s="5" t="n"/>
      <c r="AB6" s="16" t="inlineStr">
        <is>
          <t>مايو 2027</t>
        </is>
      </c>
      <c r="AC6" s="5" t="n"/>
      <c r="AD6" s="5" t="n"/>
      <c r="AE6" s="17" t="inlineStr">
        <is>
          <t>يونيو 2027</t>
        </is>
      </c>
      <c r="AF6" s="5" t="n"/>
      <c r="AG6" s="5" t="n"/>
      <c r="AH6" s="16" t="inlineStr">
        <is>
          <t>يوليو 2027</t>
        </is>
      </c>
      <c r="AI6" s="5" t="n"/>
      <c r="AJ6" s="5" t="n"/>
      <c r="AK6" s="17" t="inlineStr">
        <is>
          <t>أغسطس 2027</t>
        </is>
      </c>
      <c r="AL6" s="5" t="n"/>
      <c r="AM6" s="5" t="n"/>
      <c r="AN6" s="18" t="inlineStr">
        <is>
          <t>الإجمالي السنوي</t>
        </is>
      </c>
    </row>
    <row r="7" ht="40" customHeight="1">
      <c r="A7" s="3" t="inlineStr">
        <is>
          <t>البند</t>
        </is>
      </c>
      <c r="B7" s="3" t="inlineStr">
        <is>
          <t>المخصص السنوي</t>
        </is>
      </c>
      <c r="C7" s="3" t="inlineStr">
        <is>
          <t>المخصص الشهري</t>
        </is>
      </c>
      <c r="D7" s="3" t="inlineStr">
        <is>
          <t>سبتمبر 2026 مخصص</t>
        </is>
      </c>
      <c r="E7" s="3" t="inlineStr">
        <is>
          <t>سبتمبر 2026 منصرف</t>
        </is>
      </c>
      <c r="F7" s="3" t="inlineStr">
        <is>
          <t>سبتمبر 2026 متبقي/عجز</t>
        </is>
      </c>
      <c r="G7" s="3" t="inlineStr">
        <is>
          <t>أكتوبر 2026 مخصص</t>
        </is>
      </c>
      <c r="H7" s="3" t="inlineStr">
        <is>
          <t>أكتوبر 2026 منصرف</t>
        </is>
      </c>
      <c r="I7" s="3" t="inlineStr">
        <is>
          <t>أكتوبر 2026 متبقي/عجز</t>
        </is>
      </c>
      <c r="J7" s="3" t="inlineStr">
        <is>
          <t>نوفمبر 2026 مخصص</t>
        </is>
      </c>
      <c r="K7" s="3" t="inlineStr">
        <is>
          <t>نوفمبر 2026 منصرف</t>
        </is>
      </c>
      <c r="L7" s="3" t="inlineStr">
        <is>
          <t>نوفمبر 2026 متبقي/عجز</t>
        </is>
      </c>
      <c r="M7" s="3" t="inlineStr">
        <is>
          <t>ديسمبر 2026 مخصص</t>
        </is>
      </c>
      <c r="N7" s="3" t="inlineStr">
        <is>
          <t>ديسمبر 2026 منصرف</t>
        </is>
      </c>
      <c r="O7" s="3" t="inlineStr">
        <is>
          <t>ديسمبر 2026 متبقي/عجز</t>
        </is>
      </c>
      <c r="P7" s="3" t="inlineStr">
        <is>
          <t>يناير 2027 مخصص</t>
        </is>
      </c>
      <c r="Q7" s="3" t="inlineStr">
        <is>
          <t>يناير 2027 منصرف</t>
        </is>
      </c>
      <c r="R7" s="3" t="inlineStr">
        <is>
          <t>يناير 2027 متبقي/عجز</t>
        </is>
      </c>
      <c r="S7" s="3" t="inlineStr">
        <is>
          <t>فبراير 2027 مخصص</t>
        </is>
      </c>
      <c r="T7" s="3" t="inlineStr">
        <is>
          <t>فبراير 2027 منصرف</t>
        </is>
      </c>
      <c r="U7" s="3" t="inlineStr">
        <is>
          <t>فبراير 2027 متبقي/عجز</t>
        </is>
      </c>
      <c r="V7" s="3" t="inlineStr">
        <is>
          <t>مارس 2027 مخصص</t>
        </is>
      </c>
      <c r="W7" s="3" t="inlineStr">
        <is>
          <t>مارس 2027 منصرف</t>
        </is>
      </c>
      <c r="X7" s="3" t="inlineStr">
        <is>
          <t>مارس 2027 متبقي/عجز</t>
        </is>
      </c>
      <c r="Y7" s="3" t="inlineStr">
        <is>
          <t>أبريل 2027 مخصص</t>
        </is>
      </c>
      <c r="Z7" s="3" t="inlineStr">
        <is>
          <t>أبريل 2027 منصرف</t>
        </is>
      </c>
      <c r="AA7" s="3" t="inlineStr">
        <is>
          <t>أبريل 2027 متبقي/عجز</t>
        </is>
      </c>
      <c r="AB7" s="3" t="inlineStr">
        <is>
          <t>مايو 2027 مخصص</t>
        </is>
      </c>
      <c r="AC7" s="3" t="inlineStr">
        <is>
          <t>مايو 2027 منصرف</t>
        </is>
      </c>
      <c r="AD7" s="3" t="inlineStr">
        <is>
          <t>مايو 2027 متبقي/عجز</t>
        </is>
      </c>
      <c r="AE7" s="3" t="inlineStr">
        <is>
          <t>يونيو 2027 مخصص</t>
        </is>
      </c>
      <c r="AF7" s="3" t="inlineStr">
        <is>
          <t>يونيو 2027 منصرف</t>
        </is>
      </c>
      <c r="AG7" s="3" t="inlineStr">
        <is>
          <t>يونيو 2027 متبقي/عجز</t>
        </is>
      </c>
      <c r="AH7" s="3" t="inlineStr">
        <is>
          <t>يوليو 2027 مخصص</t>
        </is>
      </c>
      <c r="AI7" s="3" t="inlineStr">
        <is>
          <t>يوليو 2027 منصرف</t>
        </is>
      </c>
      <c r="AJ7" s="3" t="inlineStr">
        <is>
          <t>يوليو 2027 متبقي/عجز</t>
        </is>
      </c>
      <c r="AK7" s="3" t="inlineStr">
        <is>
          <t>أغسطس 2027 مخصص</t>
        </is>
      </c>
      <c r="AL7" s="3" t="inlineStr">
        <is>
          <t>أغسطس 2027 منصرف</t>
        </is>
      </c>
      <c r="AM7" s="3" t="inlineStr">
        <is>
          <t>أغسطس 2027 متبقي/عجز</t>
        </is>
      </c>
      <c r="AN7" s="3" t="inlineStr">
        <is>
          <t>إجمالي المخصص السنوي</t>
        </is>
      </c>
      <c r="AO7" s="3" t="inlineStr">
        <is>
          <t>إجمالي المنصرف السنوي</t>
        </is>
      </c>
      <c r="AP7" s="3" t="inlineStr">
        <is>
          <t>المتبقي أو العجز السنوي</t>
        </is>
      </c>
      <c r="AQ7" t="inlineStr">
        <is>
          <t>def_months</t>
        </is>
      </c>
      <c r="AR7" t="inlineStr">
        <is>
          <t>overspend</t>
        </is>
      </c>
      <c r="AS7" t="inlineStr">
        <is>
          <t>def_flag</t>
        </is>
      </c>
      <c r="AT7" t="inlineStr">
        <is>
          <t>def_cum</t>
        </is>
      </c>
      <c r="AU7" t="inlineStr">
        <is>
          <t>top_key</t>
        </is>
      </c>
    </row>
    <row r="8">
      <c r="A8" s="19" t="inlineStr">
        <is>
          <t>رواتب وحوافز</t>
        </is>
      </c>
      <c r="B8" s="20" t="n">
        <v>3618600</v>
      </c>
      <c r="C8" s="21">
        <f>IF(A8="","",N(B8)/12)</f>
        <v/>
      </c>
      <c r="D8" s="22" t="n">
        <v>342057.5</v>
      </c>
      <c r="E8" s="23">
        <f>IF($A8="","",IFERROR(SUMPRODUCT(('[1]عهد ومصروفات دمياط'!$H$8:$H$5007=$A8)*('[1]عهد ومصروفات دمياط'!$S$8:$S$5007=1)*'[1]عهد ومصروفات دمياط'!$T$8:$T$5007),0))</f>
        <v/>
      </c>
      <c r="F8" s="24">
        <f>IF($A8="","",N(D8)-N(E8))</f>
        <v/>
      </c>
      <c r="G8" s="22" t="n">
        <v>342057.5</v>
      </c>
      <c r="H8" s="23">
        <f>IF($A8="","",IFERROR(SUMPRODUCT(('[1]عهد ومصروفات دمياط'!$H$8:$H$5007=$A8)*('[1]عهد ومصروفات دمياط'!$S$8:$S$5007=2)*'[1]عهد ومصروفات دمياط'!$T$8:$T$5007),0))</f>
        <v/>
      </c>
      <c r="I8" s="24">
        <f>IF($A8="","",N(G8)-N(H8))</f>
        <v/>
      </c>
      <c r="J8" s="22" t="n">
        <v>342057.5</v>
      </c>
      <c r="K8" s="23">
        <f>IF($A8="","",IFERROR(SUMPRODUCT(('[1]عهد ومصروفات دمياط'!$H$8:$H$5007=$A8)*('[1]عهد ومصروفات دمياط'!$S$8:$S$5007=3)*'[1]عهد ومصروفات دمياط'!$T$8:$T$5007),0))</f>
        <v/>
      </c>
      <c r="L8" s="24">
        <f>IF($A8="","",N(J8)-N(K8))</f>
        <v/>
      </c>
      <c r="M8" s="22" t="n">
        <v>342057.5</v>
      </c>
      <c r="N8" s="23">
        <f>IF($A8="","",IFERROR(SUMPRODUCT(('[1]عهد ومصروفات دمياط'!$H$8:$H$5007=$A8)*('[1]عهد ومصروفات دمياط'!$S$8:$S$5007=4)*'[1]عهد ومصروفات دمياط'!$T$8:$T$5007),0))</f>
        <v/>
      </c>
      <c r="O8" s="24">
        <f>IF($A8="","",N(M8)-N(N8))</f>
        <v/>
      </c>
      <c r="P8" s="22" t="n">
        <v>342057.5</v>
      </c>
      <c r="Q8" s="23">
        <f>IF($A8="","",IFERROR(SUMPRODUCT(('[1]عهد ومصروفات دمياط'!$H$8:$H$5007=$A8)*('[1]عهد ومصروفات دمياط'!$S$8:$S$5007=5)*'[1]عهد ومصروفات دمياط'!$T$8:$T$5007),0))</f>
        <v/>
      </c>
      <c r="R8" s="24">
        <f>IF($A8="","",N(P8)-N(Q8))</f>
        <v/>
      </c>
      <c r="S8" s="22" t="n">
        <v>342057.5</v>
      </c>
      <c r="T8" s="23">
        <f>IF($A8="","",IFERROR(SUMPRODUCT(('[1]عهد ومصروفات دمياط'!$H$8:$H$5007=$A8)*('[1]عهد ومصروفات دمياط'!$S$8:$S$5007=6)*'[1]عهد ومصروفات دمياط'!$T$8:$T$5007),0))</f>
        <v/>
      </c>
      <c r="U8" s="24">
        <f>IF($A8="","",N(S8)-N(T8))</f>
        <v/>
      </c>
      <c r="V8" s="22" t="n">
        <v>342057.5</v>
      </c>
      <c r="W8" s="23">
        <f>IF($A8="","",IFERROR(SUMPRODUCT(('[1]عهد ومصروفات دمياط'!$H$8:$H$5007=$A8)*('[1]عهد ومصروفات دمياط'!$S$8:$S$5007=7)*'[1]عهد ومصروفات دمياط'!$T$8:$T$5007),0))</f>
        <v/>
      </c>
      <c r="X8" s="24">
        <f>IF($A8="","",N(V8)-N(W8))</f>
        <v/>
      </c>
      <c r="Y8" s="22" t="n">
        <v>342057.5</v>
      </c>
      <c r="Z8" s="23">
        <f>IF($A8="","",IFERROR(SUMPRODUCT(('[1]عهد ومصروفات دمياط'!$H$8:$H$5007=$A8)*('[1]عهد ومصروفات دمياط'!$S$8:$S$5007=8)*'[1]عهد ومصروفات دمياط'!$T$8:$T$5007),0))</f>
        <v/>
      </c>
      <c r="AA8" s="24">
        <f>IF($A8="","",N(Y8)-N(Z8))</f>
        <v/>
      </c>
      <c r="AB8" s="22" t="n">
        <v>342057.5</v>
      </c>
      <c r="AC8" s="23">
        <f>IF($A8="","",IFERROR(SUMPRODUCT(('[1]عهد ومصروفات دمياط'!$H$8:$H$5007=$A8)*('[1]عهد ومصروفات دمياط'!$S$8:$S$5007=9)*'[1]عهد ومصروفات دمياط'!$T$8:$T$5007),0))</f>
        <v/>
      </c>
      <c r="AD8" s="24">
        <f>IF($A8="","",N(AB8)-N(AC8))</f>
        <v/>
      </c>
      <c r="AE8" s="22" t="n">
        <v>342057.5</v>
      </c>
      <c r="AF8" s="23">
        <f>IF($A8="","",IFERROR(SUMPRODUCT(('[1]عهد ومصروفات دمياط'!$H$8:$H$5007=$A8)*('[1]عهد ومصروفات دمياط'!$S$8:$S$5007=10)*'[1]عهد ومصروفات دمياط'!$T$8:$T$5007),0))</f>
        <v/>
      </c>
      <c r="AG8" s="24">
        <f>IF($A8="","",N(AE8)-N(AF8))</f>
        <v/>
      </c>
      <c r="AH8" s="22" t="n">
        <v>342057.5</v>
      </c>
      <c r="AI8" s="23">
        <f>IF($A8="","",IFERROR(SUMPRODUCT(('[1]عهد ومصروفات دمياط'!$H$8:$H$5007=$A8)*('[1]عهد ومصروفات دمياط'!$S$8:$S$5007=11)*'[1]عهد ومصروفات دمياط'!$T$8:$T$5007),0))</f>
        <v/>
      </c>
      <c r="AJ8" s="24">
        <f>IF($A8="","",N(AH8)-N(AI8))</f>
        <v/>
      </c>
      <c r="AK8" s="22" t="n">
        <v>342057.5</v>
      </c>
      <c r="AL8" s="23">
        <f>IF($A8="","",IFERROR(SUMPRODUCT(('[1]عهد ومصروفات دمياط'!$H$8:$H$5007=$A8)*('[1]عهد ومصروفات دمياط'!$S$8:$S$5007=12)*'[1]عهد ومصروفات دمياط'!$T$8:$T$5007),0))</f>
        <v/>
      </c>
      <c r="AM8" s="24">
        <f>IF($A8="","",N(AK8)-N(AL8))</f>
        <v/>
      </c>
      <c r="AN8" s="25">
        <f>IF(A8="","",N(D8)+N(G8)+N(J8)+N(M8)+N(P8)+N(S8)+N(V8)+N(Y8)+N(AB8)+N(AE8)+N(AH8)+N(AK8))</f>
        <v/>
      </c>
      <c r="AO8" s="25">
        <f>IF(A8="","",N(E8)+N(H8)+N(K8)+N(N8)+N(Q8)+N(T8)+N(W8)+N(Z8)+N(AC8)+N(AF8)+N(AI8)+N(AL8))</f>
        <v/>
      </c>
      <c r="AP8" s="26">
        <f>IF(A8="","",N(B8)-AO8)</f>
        <v/>
      </c>
      <c r="AQ8">
        <f>IF(A8="",0,(N(F8)&lt;0)+(N(I8)&lt;0)+(N(L8)&lt;0)+(N(O8)&lt;0)+(N(R8)&lt;0)+(N(U8)&lt;0)+(N(X8)&lt;0)+(N(AA8)&lt;0)+(N(AD8)&lt;0)+(N(AG8)&lt;0)+(N(AJ8)&lt;0)+(N(AM8)&lt;0))</f>
        <v/>
      </c>
      <c r="AR8">
        <f>IF(A8="",0,MAX(0,-N(F8))+MAX(0,-N(I8))+MAX(0,-N(L8))+MAX(0,-N(O8))+MAX(0,-N(R8))+MAX(0,-N(U8))+MAX(0,-N(X8))+MAX(0,-N(AA8))+MAX(0,-N(AD8))+MAX(0,-N(AG8))+MAX(0,-N(AJ8))+MAX(0,-N(AM8)))</f>
        <v/>
      </c>
      <c r="AS8">
        <f>IF(A8="",0,IF(OR(N(AP8)&lt;0,AQ8&gt;0),1,0))</f>
        <v/>
      </c>
      <c r="AT8">
        <f>AS8</f>
        <v/>
      </c>
      <c r="AU8">
        <f>IF(A8="",-1,N(AO8)+ROW()/10000000)</f>
        <v/>
      </c>
    </row>
    <row r="9">
      <c r="A9" s="19" t="inlineStr">
        <is>
          <t>تدريب المعلمين</t>
        </is>
      </c>
      <c r="B9" s="20" t="n">
        <v>114000</v>
      </c>
      <c r="C9" s="21">
        <f>IF(A9="","",N(B9)/12)</f>
        <v/>
      </c>
      <c r="D9" s="22" t="n">
        <v>0</v>
      </c>
      <c r="E9" s="23">
        <f>IF($A9="","",IFERROR(SUMPRODUCT(('[1]عهد ومصروفات دمياط'!$H$8:$H$5007=$A9)*('[1]عهد ومصروفات دمياط'!$S$8:$S$5007=1)*'[1]عهد ومصروفات دمياط'!$T$8:$T$5007),0))</f>
        <v/>
      </c>
      <c r="F9" s="24">
        <f>IF($A9="","",N(D9)-N(E9))</f>
        <v/>
      </c>
      <c r="G9" s="22" t="n">
        <v>0</v>
      </c>
      <c r="H9" s="23">
        <f>IF($A9="","",IFERROR(SUMPRODUCT(('[1]عهد ومصروفات دمياط'!$H$8:$H$5007=$A9)*('[1]عهد ومصروفات دمياط'!$S$8:$S$5007=2)*'[1]عهد ومصروفات دمياط'!$T$8:$T$5007),0))</f>
        <v/>
      </c>
      <c r="I9" s="24">
        <f>IF($A9="","",N(G9)-N(H9))</f>
        <v/>
      </c>
      <c r="J9" s="22" t="n">
        <v>0</v>
      </c>
      <c r="K9" s="23">
        <f>IF($A9="","",IFERROR(SUMPRODUCT(('[1]عهد ومصروفات دمياط'!$H$8:$H$5007=$A9)*('[1]عهد ومصروفات دمياط'!$S$8:$S$5007=3)*'[1]عهد ومصروفات دمياط'!$T$8:$T$5007),0))</f>
        <v/>
      </c>
      <c r="L9" s="24">
        <f>IF($A9="","",N(J9)-N(K9))</f>
        <v/>
      </c>
      <c r="M9" s="22" t="n">
        <v>0</v>
      </c>
      <c r="N9" s="23">
        <f>IF($A9="","",IFERROR(SUMPRODUCT(('[1]عهد ومصروفات دمياط'!$H$8:$H$5007=$A9)*('[1]عهد ومصروفات دمياط'!$S$8:$S$5007=4)*'[1]عهد ومصروفات دمياط'!$T$8:$T$5007),0))</f>
        <v/>
      </c>
      <c r="O9" s="24">
        <f>IF($A9="","",N(M9)-N(N9))</f>
        <v/>
      </c>
      <c r="P9" s="22" t="n">
        <v>57000</v>
      </c>
      <c r="Q9" s="23">
        <f>IF($A9="","",IFERROR(SUMPRODUCT(('[1]عهد ومصروفات دمياط'!$H$8:$H$5007=$A9)*('[1]عهد ومصروفات دمياط'!$S$8:$S$5007=5)*'[1]عهد ومصروفات دمياط'!$T$8:$T$5007),0))</f>
        <v/>
      </c>
      <c r="R9" s="24">
        <f>IF($A9="","",N(P9)-N(Q9))</f>
        <v/>
      </c>
      <c r="S9" s="22" t="n">
        <v>0</v>
      </c>
      <c r="T9" s="23">
        <f>IF($A9="","",IFERROR(SUMPRODUCT(('[1]عهد ومصروفات دمياط'!$H$8:$H$5007=$A9)*('[1]عهد ومصروفات دمياط'!$S$8:$S$5007=6)*'[1]عهد ومصروفات دمياط'!$T$8:$T$5007),0))</f>
        <v/>
      </c>
      <c r="U9" s="24">
        <f>IF($A9="","",N(S9)-N(T9))</f>
        <v/>
      </c>
      <c r="V9" s="22" t="n">
        <v>0</v>
      </c>
      <c r="W9" s="23">
        <f>IF($A9="","",IFERROR(SUMPRODUCT(('[1]عهد ومصروفات دمياط'!$H$8:$H$5007=$A9)*('[1]عهد ومصروفات دمياط'!$S$8:$S$5007=7)*'[1]عهد ومصروفات دمياط'!$T$8:$T$5007),0))</f>
        <v/>
      </c>
      <c r="X9" s="24">
        <f>IF($A9="","",N(V9)-N(W9))</f>
        <v/>
      </c>
      <c r="Y9" s="22" t="n">
        <v>0</v>
      </c>
      <c r="Z9" s="23">
        <f>IF($A9="","",IFERROR(SUMPRODUCT(('[1]عهد ومصروفات دمياط'!$H$8:$H$5007=$A9)*('[1]عهد ومصروفات دمياط'!$S$8:$S$5007=8)*'[1]عهد ومصروفات دمياط'!$T$8:$T$5007),0))</f>
        <v/>
      </c>
      <c r="AA9" s="24">
        <f>IF($A9="","",N(Y9)-N(Z9))</f>
        <v/>
      </c>
      <c r="AB9" s="22" t="n">
        <v>0</v>
      </c>
      <c r="AC9" s="23">
        <f>IF($A9="","",IFERROR(SUMPRODUCT(('[1]عهد ومصروفات دمياط'!$H$8:$H$5007=$A9)*('[1]عهد ومصروفات دمياط'!$S$8:$S$5007=9)*'[1]عهد ومصروفات دمياط'!$T$8:$T$5007),0))</f>
        <v/>
      </c>
      <c r="AD9" s="24">
        <f>IF($A9="","",N(AB9)-N(AC9))</f>
        <v/>
      </c>
      <c r="AE9" s="22" t="n">
        <v>0</v>
      </c>
      <c r="AF9" s="23">
        <f>IF($A9="","",IFERROR(SUMPRODUCT(('[1]عهد ومصروفات دمياط'!$H$8:$H$5007=$A9)*('[1]عهد ومصروفات دمياط'!$S$8:$S$5007=10)*'[1]عهد ومصروفات دمياط'!$T$8:$T$5007),0))</f>
        <v/>
      </c>
      <c r="AG9" s="24">
        <f>IF($A9="","",N(AE9)-N(AF9))</f>
        <v/>
      </c>
      <c r="AH9" s="22" t="n">
        <v>0</v>
      </c>
      <c r="AI9" s="23">
        <f>IF($A9="","",IFERROR(SUMPRODUCT(('[1]عهد ومصروفات دمياط'!$H$8:$H$5007=$A9)*('[1]عهد ومصروفات دمياط'!$S$8:$S$5007=11)*'[1]عهد ومصروفات دمياط'!$T$8:$T$5007),0))</f>
        <v/>
      </c>
      <c r="AJ9" s="24">
        <f>IF($A9="","",N(AH9)-N(AI9))</f>
        <v/>
      </c>
      <c r="AK9" s="22" t="n">
        <v>57000</v>
      </c>
      <c r="AL9" s="23">
        <f>IF($A9="","",IFERROR(SUMPRODUCT(('[1]عهد ومصروفات دمياط'!$H$8:$H$5007=$A9)*('[1]عهد ومصروفات دمياط'!$S$8:$S$5007=12)*'[1]عهد ومصروفات دمياط'!$T$8:$T$5007),0))</f>
        <v/>
      </c>
      <c r="AM9" s="24">
        <f>IF($A9="","",N(AK9)-N(AL9))</f>
        <v/>
      </c>
      <c r="AN9" s="25">
        <f>IF(A9="","",N(D9)+N(G9)+N(J9)+N(M9)+N(P9)+N(S9)+N(V9)+N(Y9)+N(AB9)+N(AE9)+N(AH9)+N(AK9))</f>
        <v/>
      </c>
      <c r="AO9" s="25">
        <f>IF(A9="","",N(E9)+N(H9)+N(K9)+N(N9)+N(Q9)+N(T9)+N(W9)+N(Z9)+N(AC9)+N(AF9)+N(AI9)+N(AL9))</f>
        <v/>
      </c>
      <c r="AP9" s="26">
        <f>IF(A9="","",N(B9)-AO9)</f>
        <v/>
      </c>
      <c r="AQ9">
        <f>IF(A9="",0,(N(F9)&lt;0)+(N(I9)&lt;0)+(N(L9)&lt;0)+(N(O9)&lt;0)+(N(R9)&lt;0)+(N(U9)&lt;0)+(N(X9)&lt;0)+(N(AA9)&lt;0)+(N(AD9)&lt;0)+(N(AG9)&lt;0)+(N(AJ9)&lt;0)+(N(AM9)&lt;0))</f>
        <v/>
      </c>
      <c r="AR9">
        <f>IF(A9="",0,MAX(0,-N(F9))+MAX(0,-N(I9))+MAX(0,-N(L9))+MAX(0,-N(O9))+MAX(0,-N(R9))+MAX(0,-N(U9))+MAX(0,-N(X9))+MAX(0,-N(AA9))+MAX(0,-N(AD9))+MAX(0,-N(AG9))+MAX(0,-N(AJ9))+MAX(0,-N(AM9)))</f>
        <v/>
      </c>
      <c r="AS9">
        <f>IF(A9="",0,IF(OR(N(AP9)&lt;0,AQ9&gt;0),1,0))</f>
        <v/>
      </c>
      <c r="AT9">
        <f>AT8+AS9</f>
        <v/>
      </c>
      <c r="AU9">
        <f>IF(A9="",-1,N(AO9)+ROW()/10000000)</f>
        <v/>
      </c>
    </row>
    <row r="10">
      <c r="A10" s="19" t="inlineStr">
        <is>
          <t>انتقالات وبدلات المتابعة الميدانية</t>
        </is>
      </c>
      <c r="B10" s="20" t="n">
        <v>72000</v>
      </c>
      <c r="C10" s="21">
        <f>IF(A10="","",N(B10)/12)</f>
        <v/>
      </c>
      <c r="D10" s="22" t="n">
        <v>9000</v>
      </c>
      <c r="E10" s="23">
        <f>IF($A10="","",IFERROR(SUMPRODUCT(('[1]عهد ومصروفات دمياط'!$H$8:$H$5007=$A10)*('[1]عهد ومصروفات دمياط'!$S$8:$S$5007=1)*'[1]عهد ومصروفات دمياط'!$T$8:$T$5007),0))</f>
        <v/>
      </c>
      <c r="F10" s="24">
        <f>IF($A10="","",N(D10)-N(E10))</f>
        <v/>
      </c>
      <c r="G10" s="22" t="n">
        <v>9000</v>
      </c>
      <c r="H10" s="23">
        <f>IF($A10="","",IFERROR(SUMPRODUCT(('[1]عهد ومصروفات دمياط'!$H$8:$H$5007=$A10)*('[1]عهد ومصروفات دمياط'!$S$8:$S$5007=2)*'[1]عهد ومصروفات دمياط'!$T$8:$T$5007),0))</f>
        <v/>
      </c>
      <c r="I10" s="24">
        <f>IF($A10="","",N(G10)-N(H10))</f>
        <v/>
      </c>
      <c r="J10" s="22" t="n">
        <v>9000</v>
      </c>
      <c r="K10" s="23">
        <f>IF($A10="","",IFERROR(SUMPRODUCT(('[1]عهد ومصروفات دمياط'!$H$8:$H$5007=$A10)*('[1]عهد ومصروفات دمياط'!$S$8:$S$5007=3)*'[1]عهد ومصروفات دمياط'!$T$8:$T$5007),0))</f>
        <v/>
      </c>
      <c r="L10" s="24">
        <f>IF($A10="","",N(J10)-N(K10))</f>
        <v/>
      </c>
      <c r="M10" s="22" t="n">
        <v>9000</v>
      </c>
      <c r="N10" s="23">
        <f>IF($A10="","",IFERROR(SUMPRODUCT(('[1]عهد ومصروفات دمياط'!$H$8:$H$5007=$A10)*('[1]عهد ومصروفات دمياط'!$S$8:$S$5007=4)*'[1]عهد ومصروفات دمياط'!$T$8:$T$5007),0))</f>
        <v/>
      </c>
      <c r="O10" s="24">
        <f>IF($A10="","",N(M10)-N(N10))</f>
        <v/>
      </c>
      <c r="P10" s="22" t="n">
        <v>9000</v>
      </c>
      <c r="Q10" s="23">
        <f>IF($A10="","",IFERROR(SUMPRODUCT(('[1]عهد ومصروفات دمياط'!$H$8:$H$5007=$A10)*('[1]عهد ومصروفات دمياط'!$S$8:$S$5007=5)*'[1]عهد ومصروفات دمياط'!$T$8:$T$5007),0))</f>
        <v/>
      </c>
      <c r="R10" s="24">
        <f>IF($A10="","",N(P10)-N(Q10))</f>
        <v/>
      </c>
      <c r="S10" s="22" t="n">
        <v>9000</v>
      </c>
      <c r="T10" s="23">
        <f>IF($A10="","",IFERROR(SUMPRODUCT(('[1]عهد ومصروفات دمياط'!$H$8:$H$5007=$A10)*('[1]عهد ومصروفات دمياط'!$S$8:$S$5007=6)*'[1]عهد ومصروفات دمياط'!$T$8:$T$5007),0))</f>
        <v/>
      </c>
      <c r="U10" s="24">
        <f>IF($A10="","",N(S10)-N(T10))</f>
        <v/>
      </c>
      <c r="V10" s="22" t="n">
        <v>9000</v>
      </c>
      <c r="W10" s="23">
        <f>IF($A10="","",IFERROR(SUMPRODUCT(('[1]عهد ومصروفات دمياط'!$H$8:$H$5007=$A10)*('[1]عهد ومصروفات دمياط'!$S$8:$S$5007=7)*'[1]عهد ومصروفات دمياط'!$T$8:$T$5007),0))</f>
        <v/>
      </c>
      <c r="X10" s="24">
        <f>IF($A10="","",N(V10)-N(W10))</f>
        <v/>
      </c>
      <c r="Y10" s="22" t="n">
        <v>9000</v>
      </c>
      <c r="Z10" s="23">
        <f>IF($A10="","",IFERROR(SUMPRODUCT(('[1]عهد ومصروفات دمياط'!$H$8:$H$5007=$A10)*('[1]عهد ومصروفات دمياط'!$S$8:$S$5007=8)*'[1]عهد ومصروفات دمياط'!$T$8:$T$5007),0))</f>
        <v/>
      </c>
      <c r="AA10" s="24">
        <f>IF($A10="","",N(Y10)-N(Z10))</f>
        <v/>
      </c>
      <c r="AB10" s="22" t="n">
        <v>0</v>
      </c>
      <c r="AC10" s="23">
        <f>IF($A10="","",IFERROR(SUMPRODUCT(('[1]عهد ومصروفات دمياط'!$H$8:$H$5007=$A10)*('[1]عهد ومصروفات دمياط'!$S$8:$S$5007=9)*'[1]عهد ومصروفات دمياط'!$T$8:$T$5007),0))</f>
        <v/>
      </c>
      <c r="AD10" s="24">
        <f>IF($A10="","",N(AB10)-N(AC10))</f>
        <v/>
      </c>
      <c r="AE10" s="22" t="n">
        <v>0</v>
      </c>
      <c r="AF10" s="23">
        <f>IF($A10="","",IFERROR(SUMPRODUCT(('[1]عهد ومصروفات دمياط'!$H$8:$H$5007=$A10)*('[1]عهد ومصروفات دمياط'!$S$8:$S$5007=10)*'[1]عهد ومصروفات دمياط'!$T$8:$T$5007),0))</f>
        <v/>
      </c>
      <c r="AG10" s="24">
        <f>IF($A10="","",N(AE10)-N(AF10))</f>
        <v/>
      </c>
      <c r="AH10" s="22" t="n">
        <v>0</v>
      </c>
      <c r="AI10" s="23">
        <f>IF($A10="","",IFERROR(SUMPRODUCT(('[1]عهد ومصروفات دمياط'!$H$8:$H$5007=$A10)*('[1]عهد ومصروفات دمياط'!$S$8:$S$5007=11)*'[1]عهد ومصروفات دمياط'!$T$8:$T$5007),0))</f>
        <v/>
      </c>
      <c r="AJ10" s="24">
        <f>IF($A10="","",N(AH10)-N(AI10))</f>
        <v/>
      </c>
      <c r="AK10" s="22" t="n">
        <v>0</v>
      </c>
      <c r="AL10" s="23">
        <f>IF($A10="","",IFERROR(SUMPRODUCT(('[1]عهد ومصروفات دمياط'!$H$8:$H$5007=$A10)*('[1]عهد ومصروفات دمياط'!$S$8:$S$5007=12)*'[1]عهد ومصروفات دمياط'!$T$8:$T$5007),0))</f>
        <v/>
      </c>
      <c r="AM10" s="24">
        <f>IF($A10="","",N(AK10)-N(AL10))</f>
        <v/>
      </c>
      <c r="AN10" s="25">
        <f>IF(A10="","",N(D10)+N(G10)+N(J10)+N(M10)+N(P10)+N(S10)+N(V10)+N(Y10)+N(AB10)+N(AE10)+N(AH10)+N(AK10))</f>
        <v/>
      </c>
      <c r="AO10" s="25">
        <f>IF(A10="","",N(E10)+N(H10)+N(K10)+N(N10)+N(Q10)+N(T10)+N(W10)+N(Z10)+N(AC10)+N(AF10)+N(AI10)+N(AL10))</f>
        <v/>
      </c>
      <c r="AP10" s="26">
        <f>IF(A10="","",N(B10)-AO10)</f>
        <v/>
      </c>
      <c r="AQ10">
        <f>IF(A10="",0,(N(F10)&lt;0)+(N(I10)&lt;0)+(N(L10)&lt;0)+(N(O10)&lt;0)+(N(R10)&lt;0)+(N(U10)&lt;0)+(N(X10)&lt;0)+(N(AA10)&lt;0)+(N(AD10)&lt;0)+(N(AG10)&lt;0)+(N(AJ10)&lt;0)+(N(AM10)&lt;0))</f>
        <v/>
      </c>
      <c r="AR10">
        <f>IF(A10="",0,MAX(0,-N(F10))+MAX(0,-N(I10))+MAX(0,-N(L10))+MAX(0,-N(O10))+MAX(0,-N(R10))+MAX(0,-N(U10))+MAX(0,-N(X10))+MAX(0,-N(AA10))+MAX(0,-N(AD10))+MAX(0,-N(AG10))+MAX(0,-N(AJ10))+MAX(0,-N(AM10)))</f>
        <v/>
      </c>
      <c r="AS10">
        <f>IF(A10="",0,IF(OR(N(AP10)&lt;0,AQ10&gt;0),1,0))</f>
        <v/>
      </c>
      <c r="AT10">
        <f>AT9+AS10</f>
        <v/>
      </c>
      <c r="AU10">
        <f>IF(A10="",-1,N(AO10)+ROW()/10000000)</f>
        <v/>
      </c>
    </row>
    <row r="11">
      <c r="A11" s="19" t="inlineStr">
        <is>
          <t>معدات الأمن والسلامة (الصف الأول)</t>
        </is>
      </c>
      <c r="B11" s="20" t="n">
        <v>62500</v>
      </c>
      <c r="C11" s="21">
        <f>IF(A11="","",N(B11)/12)</f>
        <v/>
      </c>
      <c r="D11" s="22" t="n">
        <v>62500</v>
      </c>
      <c r="E11" s="23">
        <f>IF($A11="","",IFERROR(SUMPRODUCT(('[1]عهد ومصروفات دمياط'!$H$8:$H$5007=$A11)*('[1]عهد ومصروفات دمياط'!$S$8:$S$5007=1)*'[1]عهد ومصروفات دمياط'!$T$8:$T$5007),0))</f>
        <v/>
      </c>
      <c r="F11" s="24">
        <f>IF($A11="","",N(D11)-N(E11))</f>
        <v/>
      </c>
      <c r="G11" s="22" t="n">
        <v>0</v>
      </c>
      <c r="H11" s="23">
        <f>IF($A11="","",IFERROR(SUMPRODUCT(('[1]عهد ومصروفات دمياط'!$H$8:$H$5007=$A11)*('[1]عهد ومصروفات دمياط'!$S$8:$S$5007=2)*'[1]عهد ومصروفات دمياط'!$T$8:$T$5007),0))</f>
        <v/>
      </c>
      <c r="I11" s="24">
        <f>IF($A11="","",N(G11)-N(H11))</f>
        <v/>
      </c>
      <c r="J11" s="22" t="n">
        <v>0</v>
      </c>
      <c r="K11" s="23">
        <f>IF($A11="","",IFERROR(SUMPRODUCT(('[1]عهد ومصروفات دمياط'!$H$8:$H$5007=$A11)*('[1]عهد ومصروفات دمياط'!$S$8:$S$5007=3)*'[1]عهد ومصروفات دمياط'!$T$8:$T$5007),0))</f>
        <v/>
      </c>
      <c r="L11" s="24">
        <f>IF($A11="","",N(J11)-N(K11))</f>
        <v/>
      </c>
      <c r="M11" s="22" t="n">
        <v>0</v>
      </c>
      <c r="N11" s="23">
        <f>IF($A11="","",IFERROR(SUMPRODUCT(('[1]عهد ومصروفات دمياط'!$H$8:$H$5007=$A11)*('[1]عهد ومصروفات دمياط'!$S$8:$S$5007=4)*'[1]عهد ومصروفات دمياط'!$T$8:$T$5007),0))</f>
        <v/>
      </c>
      <c r="O11" s="24">
        <f>IF($A11="","",N(M11)-N(N11))</f>
        <v/>
      </c>
      <c r="P11" s="22" t="n">
        <v>0</v>
      </c>
      <c r="Q11" s="23">
        <f>IF($A11="","",IFERROR(SUMPRODUCT(('[1]عهد ومصروفات دمياط'!$H$8:$H$5007=$A11)*('[1]عهد ومصروفات دمياط'!$S$8:$S$5007=5)*'[1]عهد ومصروفات دمياط'!$T$8:$T$5007),0))</f>
        <v/>
      </c>
      <c r="R11" s="24">
        <f>IF($A11="","",N(P11)-N(Q11))</f>
        <v/>
      </c>
      <c r="S11" s="22" t="n">
        <v>0</v>
      </c>
      <c r="T11" s="23">
        <f>IF($A11="","",IFERROR(SUMPRODUCT(('[1]عهد ومصروفات دمياط'!$H$8:$H$5007=$A11)*('[1]عهد ومصروفات دمياط'!$S$8:$S$5007=6)*'[1]عهد ومصروفات دمياط'!$T$8:$T$5007),0))</f>
        <v/>
      </c>
      <c r="U11" s="24">
        <f>IF($A11="","",N(S11)-N(T11))</f>
        <v/>
      </c>
      <c r="V11" s="22" t="n">
        <v>0</v>
      </c>
      <c r="W11" s="23">
        <f>IF($A11="","",IFERROR(SUMPRODUCT(('[1]عهد ومصروفات دمياط'!$H$8:$H$5007=$A11)*('[1]عهد ومصروفات دمياط'!$S$8:$S$5007=7)*'[1]عهد ومصروفات دمياط'!$T$8:$T$5007),0))</f>
        <v/>
      </c>
      <c r="X11" s="24">
        <f>IF($A11="","",N(V11)-N(W11))</f>
        <v/>
      </c>
      <c r="Y11" s="22" t="n">
        <v>0</v>
      </c>
      <c r="Z11" s="23">
        <f>IF($A11="","",IFERROR(SUMPRODUCT(('[1]عهد ومصروفات دمياط'!$H$8:$H$5007=$A11)*('[1]عهد ومصروفات دمياط'!$S$8:$S$5007=8)*'[1]عهد ومصروفات دمياط'!$T$8:$T$5007),0))</f>
        <v/>
      </c>
      <c r="AA11" s="24">
        <f>IF($A11="","",N(Y11)-N(Z11))</f>
        <v/>
      </c>
      <c r="AB11" s="22" t="n">
        <v>0</v>
      </c>
      <c r="AC11" s="23">
        <f>IF($A11="","",IFERROR(SUMPRODUCT(('[1]عهد ومصروفات دمياط'!$H$8:$H$5007=$A11)*('[1]عهد ومصروفات دمياط'!$S$8:$S$5007=9)*'[1]عهد ومصروفات دمياط'!$T$8:$T$5007),0))</f>
        <v/>
      </c>
      <c r="AD11" s="24">
        <f>IF($A11="","",N(AB11)-N(AC11))</f>
        <v/>
      </c>
      <c r="AE11" s="22" t="n">
        <v>0</v>
      </c>
      <c r="AF11" s="23">
        <f>IF($A11="","",IFERROR(SUMPRODUCT(('[1]عهد ومصروفات دمياط'!$H$8:$H$5007=$A11)*('[1]عهد ومصروفات دمياط'!$S$8:$S$5007=10)*'[1]عهد ومصروفات دمياط'!$T$8:$T$5007),0))</f>
        <v/>
      </c>
      <c r="AG11" s="24">
        <f>IF($A11="","",N(AE11)-N(AF11))</f>
        <v/>
      </c>
      <c r="AH11" s="22" t="n">
        <v>0</v>
      </c>
      <c r="AI11" s="23">
        <f>IF($A11="","",IFERROR(SUMPRODUCT(('[1]عهد ومصروفات دمياط'!$H$8:$H$5007=$A11)*('[1]عهد ومصروفات دمياط'!$S$8:$S$5007=11)*'[1]عهد ومصروفات دمياط'!$T$8:$T$5007),0))</f>
        <v/>
      </c>
      <c r="AJ11" s="24">
        <f>IF($A11="","",N(AH11)-N(AI11))</f>
        <v/>
      </c>
      <c r="AK11" s="22" t="n">
        <v>0</v>
      </c>
      <c r="AL11" s="23">
        <f>IF($A11="","",IFERROR(SUMPRODUCT(('[1]عهد ومصروفات دمياط'!$H$8:$H$5007=$A11)*('[1]عهد ومصروفات دمياط'!$S$8:$S$5007=12)*'[1]عهد ومصروفات دمياط'!$T$8:$T$5007),0))</f>
        <v/>
      </c>
      <c r="AM11" s="24">
        <f>IF($A11="","",N(AK11)-N(AL11))</f>
        <v/>
      </c>
      <c r="AN11" s="25">
        <f>IF(A11="","",N(D11)+N(G11)+N(J11)+N(M11)+N(P11)+N(S11)+N(V11)+N(Y11)+N(AB11)+N(AE11)+N(AH11)+N(AK11))</f>
        <v/>
      </c>
      <c r="AO11" s="25">
        <f>IF(A11="","",N(E11)+N(H11)+N(K11)+N(N11)+N(Q11)+N(T11)+N(W11)+N(Z11)+N(AC11)+N(AF11)+N(AI11)+N(AL11))</f>
        <v/>
      </c>
      <c r="AP11" s="26">
        <f>IF(A11="","",N(B11)-AO11)</f>
        <v/>
      </c>
      <c r="AQ11">
        <f>IF(A11="",0,(N(F11)&lt;0)+(N(I11)&lt;0)+(N(L11)&lt;0)+(N(O11)&lt;0)+(N(R11)&lt;0)+(N(U11)&lt;0)+(N(X11)&lt;0)+(N(AA11)&lt;0)+(N(AD11)&lt;0)+(N(AG11)&lt;0)+(N(AJ11)&lt;0)+(N(AM11)&lt;0))</f>
        <v/>
      </c>
      <c r="AR11">
        <f>IF(A11="",0,MAX(0,-N(F11))+MAX(0,-N(I11))+MAX(0,-N(L11))+MAX(0,-N(O11))+MAX(0,-N(R11))+MAX(0,-N(U11))+MAX(0,-N(X11))+MAX(0,-N(AA11))+MAX(0,-N(AD11))+MAX(0,-N(AG11))+MAX(0,-N(AJ11))+MAX(0,-N(AM11)))</f>
        <v/>
      </c>
      <c r="AS11">
        <f>IF(A11="",0,IF(OR(N(AP11)&lt;0,AQ11&gt;0),1,0))</f>
        <v/>
      </c>
      <c r="AT11">
        <f>AT10+AS11</f>
        <v/>
      </c>
      <c r="AU11">
        <f>IF(A11="",-1,N(AO11)+ROW()/10000000)</f>
        <v/>
      </c>
    </row>
    <row r="12">
      <c r="A12" s="19" t="inlineStr">
        <is>
          <t>الزى المدرسى (الصف الأول)</t>
        </is>
      </c>
      <c r="B12" s="20" t="n">
        <v>181750</v>
      </c>
      <c r="C12" s="21">
        <f>IF(A12="","",N(B12)/12)</f>
        <v/>
      </c>
      <c r="D12" s="22" t="n">
        <v>181750</v>
      </c>
      <c r="E12" s="23">
        <f>IF($A12="","",IFERROR(SUMPRODUCT(('[1]عهد ومصروفات دمياط'!$H$8:$H$5007=$A12)*('[1]عهد ومصروفات دمياط'!$S$8:$S$5007=1)*'[1]عهد ومصروفات دمياط'!$T$8:$T$5007),0))</f>
        <v/>
      </c>
      <c r="F12" s="24">
        <f>IF($A12="","",N(D12)-N(E12))</f>
        <v/>
      </c>
      <c r="G12" s="22" t="n">
        <v>0</v>
      </c>
      <c r="H12" s="23">
        <f>IF($A12="","",IFERROR(SUMPRODUCT(('[1]عهد ومصروفات دمياط'!$H$8:$H$5007=$A12)*('[1]عهد ومصروفات دمياط'!$S$8:$S$5007=2)*'[1]عهد ومصروفات دمياط'!$T$8:$T$5007),0))</f>
        <v/>
      </c>
      <c r="I12" s="24">
        <f>IF($A12="","",N(G12)-N(H12))</f>
        <v/>
      </c>
      <c r="J12" s="22" t="n">
        <v>0</v>
      </c>
      <c r="K12" s="23">
        <f>IF($A12="","",IFERROR(SUMPRODUCT(('[1]عهد ومصروفات دمياط'!$H$8:$H$5007=$A12)*('[1]عهد ومصروفات دمياط'!$S$8:$S$5007=3)*'[1]عهد ومصروفات دمياط'!$T$8:$T$5007),0))</f>
        <v/>
      </c>
      <c r="L12" s="24">
        <f>IF($A12="","",N(J12)-N(K12))</f>
        <v/>
      </c>
      <c r="M12" s="22" t="n">
        <v>0</v>
      </c>
      <c r="N12" s="23">
        <f>IF($A12="","",IFERROR(SUMPRODUCT(('[1]عهد ومصروفات دمياط'!$H$8:$H$5007=$A12)*('[1]عهد ومصروفات دمياط'!$S$8:$S$5007=4)*'[1]عهد ومصروفات دمياط'!$T$8:$T$5007),0))</f>
        <v/>
      </c>
      <c r="O12" s="24">
        <f>IF($A12="","",N(M12)-N(N12))</f>
        <v/>
      </c>
      <c r="P12" s="22" t="n">
        <v>0</v>
      </c>
      <c r="Q12" s="23">
        <f>IF($A12="","",IFERROR(SUMPRODUCT(('[1]عهد ومصروفات دمياط'!$H$8:$H$5007=$A12)*('[1]عهد ومصروفات دمياط'!$S$8:$S$5007=5)*'[1]عهد ومصروفات دمياط'!$T$8:$T$5007),0))</f>
        <v/>
      </c>
      <c r="R12" s="24">
        <f>IF($A12="","",N(P12)-N(Q12))</f>
        <v/>
      </c>
      <c r="S12" s="22" t="n">
        <v>0</v>
      </c>
      <c r="T12" s="23">
        <f>IF($A12="","",IFERROR(SUMPRODUCT(('[1]عهد ومصروفات دمياط'!$H$8:$H$5007=$A12)*('[1]عهد ومصروفات دمياط'!$S$8:$S$5007=6)*'[1]عهد ومصروفات دمياط'!$T$8:$T$5007),0))</f>
        <v/>
      </c>
      <c r="U12" s="24">
        <f>IF($A12="","",N(S12)-N(T12))</f>
        <v/>
      </c>
      <c r="V12" s="22" t="n">
        <v>0</v>
      </c>
      <c r="W12" s="23">
        <f>IF($A12="","",IFERROR(SUMPRODUCT(('[1]عهد ومصروفات دمياط'!$H$8:$H$5007=$A12)*('[1]عهد ومصروفات دمياط'!$S$8:$S$5007=7)*'[1]عهد ومصروفات دمياط'!$T$8:$T$5007),0))</f>
        <v/>
      </c>
      <c r="X12" s="24">
        <f>IF($A12="","",N(V12)-N(W12))</f>
        <v/>
      </c>
      <c r="Y12" s="22" t="n">
        <v>0</v>
      </c>
      <c r="Z12" s="23">
        <f>IF($A12="","",IFERROR(SUMPRODUCT(('[1]عهد ومصروفات دمياط'!$H$8:$H$5007=$A12)*('[1]عهد ومصروفات دمياط'!$S$8:$S$5007=8)*'[1]عهد ومصروفات دمياط'!$T$8:$T$5007),0))</f>
        <v/>
      </c>
      <c r="AA12" s="24">
        <f>IF($A12="","",N(Y12)-N(Z12))</f>
        <v/>
      </c>
      <c r="AB12" s="22" t="n">
        <v>0</v>
      </c>
      <c r="AC12" s="23">
        <f>IF($A12="","",IFERROR(SUMPRODUCT(('[1]عهد ومصروفات دمياط'!$H$8:$H$5007=$A12)*('[1]عهد ومصروفات دمياط'!$S$8:$S$5007=9)*'[1]عهد ومصروفات دمياط'!$T$8:$T$5007),0))</f>
        <v/>
      </c>
      <c r="AD12" s="24">
        <f>IF($A12="","",N(AB12)-N(AC12))</f>
        <v/>
      </c>
      <c r="AE12" s="22" t="n">
        <v>0</v>
      </c>
      <c r="AF12" s="23">
        <f>IF($A12="","",IFERROR(SUMPRODUCT(('[1]عهد ومصروفات دمياط'!$H$8:$H$5007=$A12)*('[1]عهد ومصروفات دمياط'!$S$8:$S$5007=10)*'[1]عهد ومصروفات دمياط'!$T$8:$T$5007),0))</f>
        <v/>
      </c>
      <c r="AG12" s="24">
        <f>IF($A12="","",N(AE12)-N(AF12))</f>
        <v/>
      </c>
      <c r="AH12" s="22" t="n">
        <v>0</v>
      </c>
      <c r="AI12" s="23">
        <f>IF($A12="","",IFERROR(SUMPRODUCT(('[1]عهد ومصروفات دمياط'!$H$8:$H$5007=$A12)*('[1]عهد ومصروفات دمياط'!$S$8:$S$5007=11)*'[1]عهد ومصروفات دمياط'!$T$8:$T$5007),0))</f>
        <v/>
      </c>
      <c r="AJ12" s="24">
        <f>IF($A12="","",N(AH12)-N(AI12))</f>
        <v/>
      </c>
      <c r="AK12" s="22" t="n">
        <v>0</v>
      </c>
      <c r="AL12" s="23">
        <f>IF($A12="","",IFERROR(SUMPRODUCT(('[1]عهد ومصروفات دمياط'!$H$8:$H$5007=$A12)*('[1]عهد ومصروفات دمياط'!$S$8:$S$5007=12)*'[1]عهد ومصروفات دمياط'!$T$8:$T$5007),0))</f>
        <v/>
      </c>
      <c r="AM12" s="24">
        <f>IF($A12="","",N(AK12)-N(AL12))</f>
        <v/>
      </c>
      <c r="AN12" s="25">
        <f>IF(A12="","",N(D12)+N(G12)+N(J12)+N(M12)+N(P12)+N(S12)+N(V12)+N(Y12)+N(AB12)+N(AE12)+N(AH12)+N(AK12))</f>
        <v/>
      </c>
      <c r="AO12" s="25">
        <f>IF(A12="","",N(E12)+N(H12)+N(K12)+N(N12)+N(Q12)+N(T12)+N(W12)+N(Z12)+N(AC12)+N(AF12)+N(AI12)+N(AL12))</f>
        <v/>
      </c>
      <c r="AP12" s="26">
        <f>IF(A12="","",N(B12)-AO12)</f>
        <v/>
      </c>
      <c r="AQ12">
        <f>IF(A12="",0,(N(F12)&lt;0)+(N(I12)&lt;0)+(N(L12)&lt;0)+(N(O12)&lt;0)+(N(R12)&lt;0)+(N(U12)&lt;0)+(N(X12)&lt;0)+(N(AA12)&lt;0)+(N(AD12)&lt;0)+(N(AG12)&lt;0)+(N(AJ12)&lt;0)+(N(AM12)&lt;0))</f>
        <v/>
      </c>
      <c r="AR12">
        <f>IF(A12="",0,MAX(0,-N(F12))+MAX(0,-N(I12))+MAX(0,-N(L12))+MAX(0,-N(O12))+MAX(0,-N(R12))+MAX(0,-N(U12))+MAX(0,-N(X12))+MAX(0,-N(AA12))+MAX(0,-N(AD12))+MAX(0,-N(AG12))+MAX(0,-N(AJ12))+MAX(0,-N(AM12)))</f>
        <v/>
      </c>
      <c r="AS12">
        <f>IF(A12="",0,IF(OR(N(AP12)&lt;0,AQ12&gt;0),1,0))</f>
        <v/>
      </c>
      <c r="AT12">
        <f>AT11+AS12</f>
        <v/>
      </c>
      <c r="AU12">
        <f>IF(A12="",-1,N(AO12)+ROW()/10000000)</f>
        <v/>
      </c>
    </row>
    <row r="13">
      <c r="A13" s="19" t="inlineStr">
        <is>
          <t>انتقالات الموقع – الصف الثالث</t>
        </is>
      </c>
      <c r="B13" s="20" t="n">
        <v>135000</v>
      </c>
      <c r="C13" s="21">
        <f>IF(A13="","",N(B13)/12)</f>
        <v/>
      </c>
      <c r="D13" s="22" t="n">
        <v>0</v>
      </c>
      <c r="E13" s="23">
        <f>IF($A13="","",IFERROR(SUMPRODUCT(('[1]عهد ومصروفات دمياط'!$H$8:$H$5007=$A13)*('[1]عهد ومصروفات دمياط'!$S$8:$S$5007=1)*'[1]عهد ومصروفات دمياط'!$T$8:$T$5007),0))</f>
        <v/>
      </c>
      <c r="F13" s="24">
        <f>IF($A13="","",N(D13)-N(E13))</f>
        <v/>
      </c>
      <c r="G13" s="22" t="n">
        <v>0</v>
      </c>
      <c r="H13" s="23">
        <f>IF($A13="","",IFERROR(SUMPRODUCT(('[1]عهد ومصروفات دمياط'!$H$8:$H$5007=$A13)*('[1]عهد ومصروفات دمياط'!$S$8:$S$5007=2)*'[1]عهد ومصروفات دمياط'!$T$8:$T$5007),0))</f>
        <v/>
      </c>
      <c r="I13" s="24">
        <f>IF($A13="","",N(G13)-N(H13))</f>
        <v/>
      </c>
      <c r="J13" s="22" t="n">
        <v>22500</v>
      </c>
      <c r="K13" s="23">
        <f>IF($A13="","",IFERROR(SUMPRODUCT(('[1]عهد ومصروفات دمياط'!$H$8:$H$5007=$A13)*('[1]عهد ومصروفات دمياط'!$S$8:$S$5007=3)*'[1]عهد ومصروفات دمياط'!$T$8:$T$5007),0))</f>
        <v/>
      </c>
      <c r="L13" s="24">
        <f>IF($A13="","",N(J13)-N(K13))</f>
        <v/>
      </c>
      <c r="M13" s="22" t="n">
        <v>45000</v>
      </c>
      <c r="N13" s="23">
        <f>IF($A13="","",IFERROR(SUMPRODUCT(('[1]عهد ومصروفات دمياط'!$H$8:$H$5007=$A13)*('[1]عهد ومصروفات دمياط'!$S$8:$S$5007=4)*'[1]عهد ومصروفات دمياط'!$T$8:$T$5007),0))</f>
        <v/>
      </c>
      <c r="O13" s="24">
        <f>IF($A13="","",N(M13)-N(N13))</f>
        <v/>
      </c>
      <c r="P13" s="22" t="n">
        <v>0</v>
      </c>
      <c r="Q13" s="23">
        <f>IF($A13="","",IFERROR(SUMPRODUCT(('[1]عهد ومصروفات دمياط'!$H$8:$H$5007=$A13)*('[1]عهد ومصروفات دمياط'!$S$8:$S$5007=5)*'[1]عهد ومصروفات دمياط'!$T$8:$T$5007),0))</f>
        <v/>
      </c>
      <c r="R13" s="24">
        <f>IF($A13="","",N(P13)-N(Q13))</f>
        <v/>
      </c>
      <c r="S13" s="22" t="n">
        <v>22500</v>
      </c>
      <c r="T13" s="23">
        <f>IF($A13="","",IFERROR(SUMPRODUCT(('[1]عهد ومصروفات دمياط'!$H$8:$H$5007=$A13)*('[1]عهد ومصروفات دمياط'!$S$8:$S$5007=6)*'[1]عهد ومصروفات دمياط'!$T$8:$T$5007),0))</f>
        <v/>
      </c>
      <c r="U13" s="24">
        <f>IF($A13="","",N(S13)-N(T13))</f>
        <v/>
      </c>
      <c r="V13" s="22" t="n">
        <v>45000</v>
      </c>
      <c r="W13" s="23">
        <f>IF($A13="","",IFERROR(SUMPRODUCT(('[1]عهد ومصروفات دمياط'!$H$8:$H$5007=$A13)*('[1]عهد ومصروفات دمياط'!$S$8:$S$5007=7)*'[1]عهد ومصروفات دمياط'!$T$8:$T$5007),0))</f>
        <v/>
      </c>
      <c r="X13" s="24">
        <f>IF($A13="","",N(V13)-N(W13))</f>
        <v/>
      </c>
      <c r="Y13" s="22" t="n">
        <v>0</v>
      </c>
      <c r="Z13" s="23">
        <f>IF($A13="","",IFERROR(SUMPRODUCT(('[1]عهد ومصروفات دمياط'!$H$8:$H$5007=$A13)*('[1]عهد ومصروفات دمياط'!$S$8:$S$5007=8)*'[1]عهد ومصروفات دمياط'!$T$8:$T$5007),0))</f>
        <v/>
      </c>
      <c r="AA13" s="24">
        <f>IF($A13="","",N(Y13)-N(Z13))</f>
        <v/>
      </c>
      <c r="AB13" s="22" t="n">
        <v>0</v>
      </c>
      <c r="AC13" s="23">
        <f>IF($A13="","",IFERROR(SUMPRODUCT(('[1]عهد ومصروفات دمياط'!$H$8:$H$5007=$A13)*('[1]عهد ومصروفات دمياط'!$S$8:$S$5007=9)*'[1]عهد ومصروفات دمياط'!$T$8:$T$5007),0))</f>
        <v/>
      </c>
      <c r="AD13" s="24">
        <f>IF($A13="","",N(AB13)-N(AC13))</f>
        <v/>
      </c>
      <c r="AE13" s="22" t="n">
        <v>0</v>
      </c>
      <c r="AF13" s="23">
        <f>IF($A13="","",IFERROR(SUMPRODUCT(('[1]عهد ومصروفات دمياط'!$H$8:$H$5007=$A13)*('[1]عهد ومصروفات دمياط'!$S$8:$S$5007=10)*'[1]عهد ومصروفات دمياط'!$T$8:$T$5007),0))</f>
        <v/>
      </c>
      <c r="AG13" s="24">
        <f>IF($A13="","",N(AE13)-N(AF13))</f>
        <v/>
      </c>
      <c r="AH13" s="22" t="n">
        <v>0</v>
      </c>
      <c r="AI13" s="23">
        <f>IF($A13="","",IFERROR(SUMPRODUCT(('[1]عهد ومصروفات دمياط'!$H$8:$H$5007=$A13)*('[1]عهد ومصروفات دمياط'!$S$8:$S$5007=11)*'[1]عهد ومصروفات دمياط'!$T$8:$T$5007),0))</f>
        <v/>
      </c>
      <c r="AJ13" s="24">
        <f>IF($A13="","",N(AH13)-N(AI13))</f>
        <v/>
      </c>
      <c r="AK13" s="22" t="n">
        <v>0</v>
      </c>
      <c r="AL13" s="23">
        <f>IF($A13="","",IFERROR(SUMPRODUCT(('[1]عهد ومصروفات دمياط'!$H$8:$H$5007=$A13)*('[1]عهد ومصروفات دمياط'!$S$8:$S$5007=12)*'[1]عهد ومصروفات دمياط'!$T$8:$T$5007),0))</f>
        <v/>
      </c>
      <c r="AM13" s="24">
        <f>IF($A13="","",N(AK13)-N(AL13))</f>
        <v/>
      </c>
      <c r="AN13" s="25">
        <f>IF(A13="","",N(D13)+N(G13)+N(J13)+N(M13)+N(P13)+N(S13)+N(V13)+N(Y13)+N(AB13)+N(AE13)+N(AH13)+N(AK13))</f>
        <v/>
      </c>
      <c r="AO13" s="25">
        <f>IF(A13="","",N(E13)+N(H13)+N(K13)+N(N13)+N(Q13)+N(T13)+N(W13)+N(Z13)+N(AC13)+N(AF13)+N(AI13)+N(AL13))</f>
        <v/>
      </c>
      <c r="AP13" s="26">
        <f>IF(A13="","",N(B13)-AO13)</f>
        <v/>
      </c>
      <c r="AQ13">
        <f>IF(A13="",0,(N(F13)&lt;0)+(N(I13)&lt;0)+(N(L13)&lt;0)+(N(O13)&lt;0)+(N(R13)&lt;0)+(N(U13)&lt;0)+(N(X13)&lt;0)+(N(AA13)&lt;0)+(N(AD13)&lt;0)+(N(AG13)&lt;0)+(N(AJ13)&lt;0)+(N(AM13)&lt;0))</f>
        <v/>
      </c>
      <c r="AR13">
        <f>IF(A13="",0,MAX(0,-N(F13))+MAX(0,-N(I13))+MAX(0,-N(L13))+MAX(0,-N(O13))+MAX(0,-N(R13))+MAX(0,-N(U13))+MAX(0,-N(X13))+MAX(0,-N(AA13))+MAX(0,-N(AD13))+MAX(0,-N(AG13))+MAX(0,-N(AJ13))+MAX(0,-N(AM13)))</f>
        <v/>
      </c>
      <c r="AS13">
        <f>IF(A13="",0,IF(OR(N(AP13)&lt;0,AQ13&gt;0),1,0))</f>
        <v/>
      </c>
      <c r="AT13">
        <f>AT12+AS13</f>
        <v/>
      </c>
      <c r="AU13">
        <f>IF(A13="",-1,N(AO13)+ROW()/10000000)</f>
        <v/>
      </c>
    </row>
    <row r="14">
      <c r="A14" s="19" t="inlineStr">
        <is>
          <t>وجبات الموقع – الصف الثالث</t>
        </is>
      </c>
      <c r="B14" s="20" t="n">
        <v>81675</v>
      </c>
      <c r="C14" s="21">
        <f>IF(A14="","",N(B14)/12)</f>
        <v/>
      </c>
      <c r="D14" s="22" t="n">
        <v>0</v>
      </c>
      <c r="E14" s="23">
        <f>IF($A14="","",IFERROR(SUMPRODUCT(('[1]عهد ومصروفات دمياط'!$H$8:$H$5007=$A14)*('[1]عهد ومصروفات دمياط'!$S$8:$S$5007=1)*'[1]عهد ومصروفات دمياط'!$T$8:$T$5007),0))</f>
        <v/>
      </c>
      <c r="F14" s="24">
        <f>IF($A14="","",N(D14)-N(E14))</f>
        <v/>
      </c>
      <c r="G14" s="22" t="n">
        <v>0</v>
      </c>
      <c r="H14" s="23">
        <f>IF($A14="","",IFERROR(SUMPRODUCT(('[1]عهد ومصروفات دمياط'!$H$8:$H$5007=$A14)*('[1]عهد ومصروفات دمياط'!$S$8:$S$5007=2)*'[1]عهد ومصروفات دمياط'!$T$8:$T$5007),0))</f>
        <v/>
      </c>
      <c r="I14" s="24">
        <f>IF($A14="","",N(G14)-N(H14))</f>
        <v/>
      </c>
      <c r="J14" s="22" t="n">
        <v>13612.5</v>
      </c>
      <c r="K14" s="23">
        <f>IF($A14="","",IFERROR(SUMPRODUCT(('[1]عهد ومصروفات دمياط'!$H$8:$H$5007=$A14)*('[1]عهد ومصروفات دمياط'!$S$8:$S$5007=3)*'[1]عهد ومصروفات دمياط'!$T$8:$T$5007),0))</f>
        <v/>
      </c>
      <c r="L14" s="24">
        <f>IF($A14="","",N(J14)-N(K14))</f>
        <v/>
      </c>
      <c r="M14" s="22" t="n">
        <v>27225</v>
      </c>
      <c r="N14" s="23">
        <f>IF($A14="","",IFERROR(SUMPRODUCT(('[1]عهد ومصروفات دمياط'!$H$8:$H$5007=$A14)*('[1]عهد ومصروفات دمياط'!$S$8:$S$5007=4)*'[1]عهد ومصروفات دمياط'!$T$8:$T$5007),0))</f>
        <v/>
      </c>
      <c r="O14" s="24">
        <f>IF($A14="","",N(M14)-N(N14))</f>
        <v/>
      </c>
      <c r="P14" s="22" t="n">
        <v>0</v>
      </c>
      <c r="Q14" s="23">
        <f>IF($A14="","",IFERROR(SUMPRODUCT(('[1]عهد ومصروفات دمياط'!$H$8:$H$5007=$A14)*('[1]عهد ومصروفات دمياط'!$S$8:$S$5007=5)*'[1]عهد ومصروفات دمياط'!$T$8:$T$5007),0))</f>
        <v/>
      </c>
      <c r="R14" s="24">
        <f>IF($A14="","",N(P14)-N(Q14))</f>
        <v/>
      </c>
      <c r="S14" s="22" t="n">
        <v>13612.5</v>
      </c>
      <c r="T14" s="23">
        <f>IF($A14="","",IFERROR(SUMPRODUCT(('[1]عهد ومصروفات دمياط'!$H$8:$H$5007=$A14)*('[1]عهد ومصروفات دمياط'!$S$8:$S$5007=6)*'[1]عهد ومصروفات دمياط'!$T$8:$T$5007),0))</f>
        <v/>
      </c>
      <c r="U14" s="24">
        <f>IF($A14="","",N(S14)-N(T14))</f>
        <v/>
      </c>
      <c r="V14" s="22" t="n">
        <v>27225</v>
      </c>
      <c r="W14" s="23">
        <f>IF($A14="","",IFERROR(SUMPRODUCT(('[1]عهد ومصروفات دمياط'!$H$8:$H$5007=$A14)*('[1]عهد ومصروفات دمياط'!$S$8:$S$5007=7)*'[1]عهد ومصروفات دمياط'!$T$8:$T$5007),0))</f>
        <v/>
      </c>
      <c r="X14" s="24">
        <f>IF($A14="","",N(V14)-N(W14))</f>
        <v/>
      </c>
      <c r="Y14" s="22" t="n">
        <v>0</v>
      </c>
      <c r="Z14" s="23">
        <f>IF($A14="","",IFERROR(SUMPRODUCT(('[1]عهد ومصروفات دمياط'!$H$8:$H$5007=$A14)*('[1]عهد ومصروفات دمياط'!$S$8:$S$5007=8)*'[1]عهد ومصروفات دمياط'!$T$8:$T$5007),0))</f>
        <v/>
      </c>
      <c r="AA14" s="24">
        <f>IF($A14="","",N(Y14)-N(Z14))</f>
        <v/>
      </c>
      <c r="AB14" s="22" t="n">
        <v>0</v>
      </c>
      <c r="AC14" s="23">
        <f>IF($A14="","",IFERROR(SUMPRODUCT(('[1]عهد ومصروفات دمياط'!$H$8:$H$5007=$A14)*('[1]عهد ومصروفات دمياط'!$S$8:$S$5007=9)*'[1]عهد ومصروفات دمياط'!$T$8:$T$5007),0))</f>
        <v/>
      </c>
      <c r="AD14" s="24">
        <f>IF($A14="","",N(AB14)-N(AC14))</f>
        <v/>
      </c>
      <c r="AE14" s="22" t="n">
        <v>0</v>
      </c>
      <c r="AF14" s="23">
        <f>IF($A14="","",IFERROR(SUMPRODUCT(('[1]عهد ومصروفات دمياط'!$H$8:$H$5007=$A14)*('[1]عهد ومصروفات دمياط'!$S$8:$S$5007=10)*'[1]عهد ومصروفات دمياط'!$T$8:$T$5007),0))</f>
        <v/>
      </c>
      <c r="AG14" s="24">
        <f>IF($A14="","",N(AE14)-N(AF14))</f>
        <v/>
      </c>
      <c r="AH14" s="22" t="n">
        <v>0</v>
      </c>
      <c r="AI14" s="23">
        <f>IF($A14="","",IFERROR(SUMPRODUCT(('[1]عهد ومصروفات دمياط'!$H$8:$H$5007=$A14)*('[1]عهد ومصروفات دمياط'!$S$8:$S$5007=11)*'[1]عهد ومصروفات دمياط'!$T$8:$T$5007),0))</f>
        <v/>
      </c>
      <c r="AJ14" s="24">
        <f>IF($A14="","",N(AH14)-N(AI14))</f>
        <v/>
      </c>
      <c r="AK14" s="22" t="n">
        <v>0</v>
      </c>
      <c r="AL14" s="23">
        <f>IF($A14="","",IFERROR(SUMPRODUCT(('[1]عهد ومصروفات دمياط'!$H$8:$H$5007=$A14)*('[1]عهد ومصروفات دمياط'!$S$8:$S$5007=12)*'[1]عهد ومصروفات دمياط'!$T$8:$T$5007),0))</f>
        <v/>
      </c>
      <c r="AM14" s="24">
        <f>IF($A14="","",N(AK14)-N(AL14))</f>
        <v/>
      </c>
      <c r="AN14" s="25">
        <f>IF(A14="","",N(D14)+N(G14)+N(J14)+N(M14)+N(P14)+N(S14)+N(V14)+N(Y14)+N(AB14)+N(AE14)+N(AH14)+N(AK14))</f>
        <v/>
      </c>
      <c r="AO14" s="25">
        <f>IF(A14="","",N(E14)+N(H14)+N(K14)+N(N14)+N(Q14)+N(T14)+N(W14)+N(Z14)+N(AC14)+N(AF14)+N(AI14)+N(AL14))</f>
        <v/>
      </c>
      <c r="AP14" s="26">
        <f>IF(A14="","",N(B14)-AO14)</f>
        <v/>
      </c>
      <c r="AQ14">
        <f>IF(A14="",0,(N(F14)&lt;0)+(N(I14)&lt;0)+(N(L14)&lt;0)+(N(O14)&lt;0)+(N(R14)&lt;0)+(N(U14)&lt;0)+(N(X14)&lt;0)+(N(AA14)&lt;0)+(N(AD14)&lt;0)+(N(AG14)&lt;0)+(N(AJ14)&lt;0)+(N(AM14)&lt;0))</f>
        <v/>
      </c>
      <c r="AR14">
        <f>IF(A14="",0,MAX(0,-N(F14))+MAX(0,-N(I14))+MAX(0,-N(L14))+MAX(0,-N(O14))+MAX(0,-N(R14))+MAX(0,-N(U14))+MAX(0,-N(X14))+MAX(0,-N(AA14))+MAX(0,-N(AD14))+MAX(0,-N(AG14))+MAX(0,-N(AJ14))+MAX(0,-N(AM14)))</f>
        <v/>
      </c>
      <c r="AS14">
        <f>IF(A14="",0,IF(OR(N(AP14)&lt;0,AQ14&gt;0),1,0))</f>
        <v/>
      </c>
      <c r="AT14">
        <f>AT13+AS14</f>
        <v/>
      </c>
      <c r="AU14">
        <f>IF(A14="",-1,N(AO14)+ROW()/10000000)</f>
        <v/>
      </c>
    </row>
    <row r="15">
      <c r="A15" s="19" t="inlineStr">
        <is>
          <t>انتقالات الموقع – الصف الأول</t>
        </is>
      </c>
      <c r="B15" s="20" t="n">
        <v>90000</v>
      </c>
      <c r="C15" s="21">
        <f>IF(A15="","",N(B15)/12)</f>
        <v/>
      </c>
      <c r="D15" s="22" t="n">
        <v>0</v>
      </c>
      <c r="E15" s="23">
        <f>IF($A15="","",IFERROR(SUMPRODUCT(('[1]عهد ومصروفات دمياط'!$H$8:$H$5007=$A15)*('[1]عهد ومصروفات دمياط'!$S$8:$S$5007=1)*'[1]عهد ومصروفات دمياط'!$T$8:$T$5007),0))</f>
        <v/>
      </c>
      <c r="F15" s="24">
        <f>IF($A15="","",N(D15)-N(E15))</f>
        <v/>
      </c>
      <c r="G15" s="22" t="n">
        <v>0</v>
      </c>
      <c r="H15" s="23">
        <f>IF($A15="","",IFERROR(SUMPRODUCT(('[1]عهد ومصروفات دمياط'!$H$8:$H$5007=$A15)*('[1]عهد ومصروفات دمياط'!$S$8:$S$5007=2)*'[1]عهد ومصروفات دمياط'!$T$8:$T$5007),0))</f>
        <v/>
      </c>
      <c r="I15" s="24">
        <f>IF($A15="","",N(G15)-N(H15))</f>
        <v/>
      </c>
      <c r="J15" s="22" t="n">
        <v>0</v>
      </c>
      <c r="K15" s="23">
        <f>IF($A15="","",IFERROR(SUMPRODUCT(('[1]عهد ومصروفات دمياط'!$H$8:$H$5007=$A15)*('[1]عهد ومصروفات دمياط'!$S$8:$S$5007=3)*'[1]عهد ومصروفات دمياط'!$T$8:$T$5007),0))</f>
        <v/>
      </c>
      <c r="L15" s="24">
        <f>IF($A15="","",N(J15)-N(K15))</f>
        <v/>
      </c>
      <c r="M15" s="22" t="n">
        <v>0</v>
      </c>
      <c r="N15" s="23">
        <f>IF($A15="","",IFERROR(SUMPRODUCT(('[1]عهد ومصروفات دمياط'!$H$8:$H$5007=$A15)*('[1]عهد ومصروفات دمياط'!$S$8:$S$5007=4)*'[1]عهد ومصروفات دمياط'!$T$8:$T$5007),0))</f>
        <v/>
      </c>
      <c r="O15" s="24">
        <f>IF($A15="","",N(M15)-N(N15))</f>
        <v/>
      </c>
      <c r="P15" s="22" t="n">
        <v>0</v>
      </c>
      <c r="Q15" s="23">
        <f>IF($A15="","",IFERROR(SUMPRODUCT(('[1]عهد ومصروفات دمياط'!$H$8:$H$5007=$A15)*('[1]عهد ومصروفات دمياط'!$S$8:$S$5007=5)*'[1]عهد ومصروفات دمياط'!$T$8:$T$5007),0))</f>
        <v/>
      </c>
      <c r="R15" s="24">
        <f>IF($A15="","",N(P15)-N(Q15))</f>
        <v/>
      </c>
      <c r="S15" s="22" t="n">
        <v>45000</v>
      </c>
      <c r="T15" s="23">
        <f>IF($A15="","",IFERROR(SUMPRODUCT(('[1]عهد ومصروفات دمياط'!$H$8:$H$5007=$A15)*('[1]عهد ومصروفات دمياط'!$S$8:$S$5007=6)*'[1]عهد ومصروفات دمياط'!$T$8:$T$5007),0))</f>
        <v/>
      </c>
      <c r="U15" s="24">
        <f>IF($A15="","",N(S15)-N(T15))</f>
        <v/>
      </c>
      <c r="V15" s="22" t="n">
        <v>45000</v>
      </c>
      <c r="W15" s="23">
        <f>IF($A15="","",IFERROR(SUMPRODUCT(('[1]عهد ومصروفات دمياط'!$H$8:$H$5007=$A15)*('[1]عهد ومصروفات دمياط'!$S$8:$S$5007=7)*'[1]عهد ومصروفات دمياط'!$T$8:$T$5007),0))</f>
        <v/>
      </c>
      <c r="X15" s="24">
        <f>IF($A15="","",N(V15)-N(W15))</f>
        <v/>
      </c>
      <c r="Y15" s="22" t="n">
        <v>0</v>
      </c>
      <c r="Z15" s="23">
        <f>IF($A15="","",IFERROR(SUMPRODUCT(('[1]عهد ومصروفات دمياط'!$H$8:$H$5007=$A15)*('[1]عهد ومصروفات دمياط'!$S$8:$S$5007=8)*'[1]عهد ومصروفات دمياط'!$T$8:$T$5007),0))</f>
        <v/>
      </c>
      <c r="AA15" s="24">
        <f>IF($A15="","",N(Y15)-N(Z15))</f>
        <v/>
      </c>
      <c r="AB15" s="22" t="n">
        <v>0</v>
      </c>
      <c r="AC15" s="23">
        <f>IF($A15="","",IFERROR(SUMPRODUCT(('[1]عهد ومصروفات دمياط'!$H$8:$H$5007=$A15)*('[1]عهد ومصروفات دمياط'!$S$8:$S$5007=9)*'[1]عهد ومصروفات دمياط'!$T$8:$T$5007),0))</f>
        <v/>
      </c>
      <c r="AD15" s="24">
        <f>IF($A15="","",N(AB15)-N(AC15))</f>
        <v/>
      </c>
      <c r="AE15" s="22" t="n">
        <v>0</v>
      </c>
      <c r="AF15" s="23">
        <f>IF($A15="","",IFERROR(SUMPRODUCT(('[1]عهد ومصروفات دمياط'!$H$8:$H$5007=$A15)*('[1]عهد ومصروفات دمياط'!$S$8:$S$5007=10)*'[1]عهد ومصروفات دمياط'!$T$8:$T$5007),0))</f>
        <v/>
      </c>
      <c r="AG15" s="24">
        <f>IF($A15="","",N(AE15)-N(AF15))</f>
        <v/>
      </c>
      <c r="AH15" s="22" t="n">
        <v>0</v>
      </c>
      <c r="AI15" s="23">
        <f>IF($A15="","",IFERROR(SUMPRODUCT(('[1]عهد ومصروفات دمياط'!$H$8:$H$5007=$A15)*('[1]عهد ومصروفات دمياط'!$S$8:$S$5007=11)*'[1]عهد ومصروفات دمياط'!$T$8:$T$5007),0))</f>
        <v/>
      </c>
      <c r="AJ15" s="24">
        <f>IF($A15="","",N(AH15)-N(AI15))</f>
        <v/>
      </c>
      <c r="AK15" s="22" t="n">
        <v>0</v>
      </c>
      <c r="AL15" s="23">
        <f>IF($A15="","",IFERROR(SUMPRODUCT(('[1]عهد ومصروفات دمياط'!$H$8:$H$5007=$A15)*('[1]عهد ومصروفات دمياط'!$S$8:$S$5007=12)*'[1]عهد ومصروفات دمياط'!$T$8:$T$5007),0))</f>
        <v/>
      </c>
      <c r="AM15" s="24">
        <f>IF($A15="","",N(AK15)-N(AL15))</f>
        <v/>
      </c>
      <c r="AN15" s="25">
        <f>IF(A15="","",N(D15)+N(G15)+N(J15)+N(M15)+N(P15)+N(S15)+N(V15)+N(Y15)+N(AB15)+N(AE15)+N(AH15)+N(AK15))</f>
        <v/>
      </c>
      <c r="AO15" s="25">
        <f>IF(A15="","",N(E15)+N(H15)+N(K15)+N(N15)+N(Q15)+N(T15)+N(W15)+N(Z15)+N(AC15)+N(AF15)+N(AI15)+N(AL15))</f>
        <v/>
      </c>
      <c r="AP15" s="26">
        <f>IF(A15="","",N(B15)-AO15)</f>
        <v/>
      </c>
      <c r="AQ15">
        <f>IF(A15="",0,(N(F15)&lt;0)+(N(I15)&lt;0)+(N(L15)&lt;0)+(N(O15)&lt;0)+(N(R15)&lt;0)+(N(U15)&lt;0)+(N(X15)&lt;0)+(N(AA15)&lt;0)+(N(AD15)&lt;0)+(N(AG15)&lt;0)+(N(AJ15)&lt;0)+(N(AM15)&lt;0))</f>
        <v/>
      </c>
      <c r="AR15">
        <f>IF(A15="",0,MAX(0,-N(F15))+MAX(0,-N(I15))+MAX(0,-N(L15))+MAX(0,-N(O15))+MAX(0,-N(R15))+MAX(0,-N(U15))+MAX(0,-N(X15))+MAX(0,-N(AA15))+MAX(0,-N(AD15))+MAX(0,-N(AG15))+MAX(0,-N(AJ15))+MAX(0,-N(AM15)))</f>
        <v/>
      </c>
      <c r="AS15">
        <f>IF(A15="",0,IF(OR(N(AP15)&lt;0,AQ15&gt;0),1,0))</f>
        <v/>
      </c>
      <c r="AT15">
        <f>AT14+AS15</f>
        <v/>
      </c>
      <c r="AU15">
        <f>IF(A15="",-1,N(AO15)+ROW()/10000000)</f>
        <v/>
      </c>
    </row>
    <row r="16">
      <c r="A16" s="19" t="inlineStr">
        <is>
          <t>انتقالات الموقع – الصف الثانى</t>
        </is>
      </c>
      <c r="B16" s="20" t="n">
        <v>135000</v>
      </c>
      <c r="C16" s="21">
        <f>IF(A16="","",N(B16)/12)</f>
        <v/>
      </c>
      <c r="D16" s="22" t="n">
        <v>0</v>
      </c>
      <c r="E16" s="23">
        <f>IF($A16="","",IFERROR(SUMPRODUCT(('[1]عهد ومصروفات دمياط'!$H$8:$H$5007=$A16)*('[1]عهد ومصروفات دمياط'!$S$8:$S$5007=1)*'[1]عهد ومصروفات دمياط'!$T$8:$T$5007),0))</f>
        <v/>
      </c>
      <c r="F16" s="24">
        <f>IF($A16="","",N(D16)-N(E16))</f>
        <v/>
      </c>
      <c r="G16" s="22" t="n">
        <v>0</v>
      </c>
      <c r="H16" s="23">
        <f>IF($A16="","",IFERROR(SUMPRODUCT(('[1]عهد ومصروفات دمياط'!$H$8:$H$5007=$A16)*('[1]عهد ومصروفات دمياط'!$S$8:$S$5007=2)*'[1]عهد ومصروفات دمياط'!$T$8:$T$5007),0))</f>
        <v/>
      </c>
      <c r="I16" s="24">
        <f>IF($A16="","",N(G16)-N(H16))</f>
        <v/>
      </c>
      <c r="J16" s="22" t="n">
        <v>0</v>
      </c>
      <c r="K16" s="23">
        <f>IF($A16="","",IFERROR(SUMPRODUCT(('[1]عهد ومصروفات دمياط'!$H$8:$H$5007=$A16)*('[1]عهد ومصروفات دمياط'!$S$8:$S$5007=3)*'[1]عهد ومصروفات دمياط'!$T$8:$T$5007),0))</f>
        <v/>
      </c>
      <c r="L16" s="24">
        <f>IF($A16="","",N(J16)-N(K16))</f>
        <v/>
      </c>
      <c r="M16" s="22" t="n">
        <v>0</v>
      </c>
      <c r="N16" s="23">
        <f>IF($A16="","",IFERROR(SUMPRODUCT(('[1]عهد ومصروفات دمياط'!$H$8:$H$5007=$A16)*('[1]عهد ومصروفات دمياط'!$S$8:$S$5007=4)*'[1]عهد ومصروفات دمياط'!$T$8:$T$5007),0))</f>
        <v/>
      </c>
      <c r="O16" s="24">
        <f>IF($A16="","",N(M16)-N(N16))</f>
        <v/>
      </c>
      <c r="P16" s="22" t="n">
        <v>0</v>
      </c>
      <c r="Q16" s="23">
        <f>IF($A16="","",IFERROR(SUMPRODUCT(('[1]عهد ومصروفات دمياط'!$H$8:$H$5007=$A16)*('[1]عهد ومصروفات دمياط'!$S$8:$S$5007=5)*'[1]عهد ومصروفات دمياط'!$T$8:$T$5007),0))</f>
        <v/>
      </c>
      <c r="R16" s="24">
        <f>IF($A16="","",N(P16)-N(Q16))</f>
        <v/>
      </c>
      <c r="S16" s="22" t="n">
        <v>50000</v>
      </c>
      <c r="T16" s="23">
        <f>IF($A16="","",IFERROR(SUMPRODUCT(('[1]عهد ومصروفات دمياط'!$H$8:$H$5007=$A16)*('[1]عهد ومصروفات دمياط'!$S$8:$S$5007=6)*'[1]عهد ومصروفات دمياط'!$T$8:$T$5007),0))</f>
        <v/>
      </c>
      <c r="U16" s="24">
        <f>IF($A16="","",N(S16)-N(T16))</f>
        <v/>
      </c>
      <c r="V16" s="22" t="n">
        <v>85000</v>
      </c>
      <c r="W16" s="23">
        <f>IF($A16="","",IFERROR(SUMPRODUCT(('[1]عهد ومصروفات دمياط'!$H$8:$H$5007=$A16)*('[1]عهد ومصروفات دمياط'!$S$8:$S$5007=7)*'[1]عهد ومصروفات دمياط'!$T$8:$T$5007),0))</f>
        <v/>
      </c>
      <c r="X16" s="24">
        <f>IF($A16="","",N(V16)-N(W16))</f>
        <v/>
      </c>
      <c r="Y16" s="22" t="n">
        <v>0</v>
      </c>
      <c r="Z16" s="23">
        <f>IF($A16="","",IFERROR(SUMPRODUCT(('[1]عهد ومصروفات دمياط'!$H$8:$H$5007=$A16)*('[1]عهد ومصروفات دمياط'!$S$8:$S$5007=8)*'[1]عهد ومصروفات دمياط'!$T$8:$T$5007),0))</f>
        <v/>
      </c>
      <c r="AA16" s="24">
        <f>IF($A16="","",N(Y16)-N(Z16))</f>
        <v/>
      </c>
      <c r="AB16" s="22" t="n">
        <v>0</v>
      </c>
      <c r="AC16" s="23">
        <f>IF($A16="","",IFERROR(SUMPRODUCT(('[1]عهد ومصروفات دمياط'!$H$8:$H$5007=$A16)*('[1]عهد ومصروفات دمياط'!$S$8:$S$5007=9)*'[1]عهد ومصروفات دمياط'!$T$8:$T$5007),0))</f>
        <v/>
      </c>
      <c r="AD16" s="24">
        <f>IF($A16="","",N(AB16)-N(AC16))</f>
        <v/>
      </c>
      <c r="AE16" s="22" t="n">
        <v>0</v>
      </c>
      <c r="AF16" s="23">
        <f>IF($A16="","",IFERROR(SUMPRODUCT(('[1]عهد ومصروفات دمياط'!$H$8:$H$5007=$A16)*('[1]عهد ومصروفات دمياط'!$S$8:$S$5007=10)*'[1]عهد ومصروفات دمياط'!$T$8:$T$5007),0))</f>
        <v/>
      </c>
      <c r="AG16" s="24">
        <f>IF($A16="","",N(AE16)-N(AF16))</f>
        <v/>
      </c>
      <c r="AH16" s="22" t="n">
        <v>0</v>
      </c>
      <c r="AI16" s="23">
        <f>IF($A16="","",IFERROR(SUMPRODUCT(('[1]عهد ومصروفات دمياط'!$H$8:$H$5007=$A16)*('[1]عهد ومصروفات دمياط'!$S$8:$S$5007=11)*'[1]عهد ومصروفات دمياط'!$T$8:$T$5007),0))</f>
        <v/>
      </c>
      <c r="AJ16" s="24">
        <f>IF($A16="","",N(AH16)-N(AI16))</f>
        <v/>
      </c>
      <c r="AK16" s="22" t="n">
        <v>0</v>
      </c>
      <c r="AL16" s="23">
        <f>IF($A16="","",IFERROR(SUMPRODUCT(('[1]عهد ومصروفات دمياط'!$H$8:$H$5007=$A16)*('[1]عهد ومصروفات دمياط'!$S$8:$S$5007=12)*'[1]عهد ومصروفات دمياط'!$T$8:$T$5007),0))</f>
        <v/>
      </c>
      <c r="AM16" s="24">
        <f>IF($A16="","",N(AK16)-N(AL16))</f>
        <v/>
      </c>
      <c r="AN16" s="25">
        <f>IF(A16="","",N(D16)+N(G16)+N(J16)+N(M16)+N(P16)+N(S16)+N(V16)+N(Y16)+N(AB16)+N(AE16)+N(AH16)+N(AK16))</f>
        <v/>
      </c>
      <c r="AO16" s="25">
        <f>IF(A16="","",N(E16)+N(H16)+N(K16)+N(N16)+N(Q16)+N(T16)+N(W16)+N(Z16)+N(AC16)+N(AF16)+N(AI16)+N(AL16))</f>
        <v/>
      </c>
      <c r="AP16" s="26">
        <f>IF(A16="","",N(B16)-AO16)</f>
        <v/>
      </c>
      <c r="AQ16">
        <f>IF(A16="",0,(N(F16)&lt;0)+(N(I16)&lt;0)+(N(L16)&lt;0)+(N(O16)&lt;0)+(N(R16)&lt;0)+(N(U16)&lt;0)+(N(X16)&lt;0)+(N(AA16)&lt;0)+(N(AD16)&lt;0)+(N(AG16)&lt;0)+(N(AJ16)&lt;0)+(N(AM16)&lt;0))</f>
        <v/>
      </c>
      <c r="AR16">
        <f>IF(A16="",0,MAX(0,-N(F16))+MAX(0,-N(I16))+MAX(0,-N(L16))+MAX(0,-N(O16))+MAX(0,-N(R16))+MAX(0,-N(U16))+MAX(0,-N(X16))+MAX(0,-N(AA16))+MAX(0,-N(AD16))+MAX(0,-N(AG16))+MAX(0,-N(AJ16))+MAX(0,-N(AM16)))</f>
        <v/>
      </c>
      <c r="AS16">
        <f>IF(A16="",0,IF(OR(N(AP16)&lt;0,AQ16&gt;0),1,0))</f>
        <v/>
      </c>
      <c r="AT16">
        <f>AT15+AS16</f>
        <v/>
      </c>
      <c r="AU16">
        <f>IF(A16="",-1,N(AO16)+ROW()/10000000)</f>
        <v/>
      </c>
    </row>
    <row r="17">
      <c r="A17" s="19" t="inlineStr">
        <is>
          <t>وجبات الموقع – الصف الأول</t>
        </is>
      </c>
      <c r="B17" s="20" t="n">
        <v>59400</v>
      </c>
      <c r="C17" s="21">
        <f>IF(A17="","",N(B17)/12)</f>
        <v/>
      </c>
      <c r="D17" s="22" t="n">
        <v>0</v>
      </c>
      <c r="E17" s="23">
        <f>IF($A17="","",IFERROR(SUMPRODUCT(('[1]عهد ومصروفات دمياط'!$H$8:$H$5007=$A17)*('[1]عهد ومصروفات دمياط'!$S$8:$S$5007=1)*'[1]عهد ومصروفات دمياط'!$T$8:$T$5007),0))</f>
        <v/>
      </c>
      <c r="F17" s="24">
        <f>IF($A17="","",N(D17)-N(E17))</f>
        <v/>
      </c>
      <c r="G17" s="22" t="n">
        <v>0</v>
      </c>
      <c r="H17" s="23">
        <f>IF($A17="","",IFERROR(SUMPRODUCT(('[1]عهد ومصروفات دمياط'!$H$8:$H$5007=$A17)*('[1]عهد ومصروفات دمياط'!$S$8:$S$5007=2)*'[1]عهد ومصروفات دمياط'!$T$8:$T$5007),0))</f>
        <v/>
      </c>
      <c r="I17" s="24">
        <f>IF($A17="","",N(G17)-N(H17))</f>
        <v/>
      </c>
      <c r="J17" s="22" t="n">
        <v>0</v>
      </c>
      <c r="K17" s="23">
        <f>IF($A17="","",IFERROR(SUMPRODUCT(('[1]عهد ومصروفات دمياط'!$H$8:$H$5007=$A17)*('[1]عهد ومصروفات دمياط'!$S$8:$S$5007=3)*'[1]عهد ومصروفات دمياط'!$T$8:$T$5007),0))</f>
        <v/>
      </c>
      <c r="L17" s="24">
        <f>IF($A17="","",N(J17)-N(K17))</f>
        <v/>
      </c>
      <c r="M17" s="22" t="n">
        <v>0</v>
      </c>
      <c r="N17" s="23">
        <f>IF($A17="","",IFERROR(SUMPRODUCT(('[1]عهد ومصروفات دمياط'!$H$8:$H$5007=$A17)*('[1]عهد ومصروفات دمياط'!$S$8:$S$5007=4)*'[1]عهد ومصروفات دمياط'!$T$8:$T$5007),0))</f>
        <v/>
      </c>
      <c r="O17" s="24">
        <f>IF($A17="","",N(M17)-N(N17))</f>
        <v/>
      </c>
      <c r="P17" s="22" t="n">
        <v>0</v>
      </c>
      <c r="Q17" s="23">
        <f>IF($A17="","",IFERROR(SUMPRODUCT(('[1]عهد ومصروفات دمياط'!$H$8:$H$5007=$A17)*('[1]عهد ومصروفات دمياط'!$S$8:$S$5007=5)*'[1]عهد ومصروفات دمياط'!$T$8:$T$5007),0))</f>
        <v/>
      </c>
      <c r="R17" s="24">
        <f>IF($A17="","",N(P17)-N(Q17))</f>
        <v/>
      </c>
      <c r="S17" s="22" t="n">
        <v>29700</v>
      </c>
      <c r="T17" s="23">
        <f>IF($A17="","",IFERROR(SUMPRODUCT(('[1]عهد ومصروفات دمياط'!$H$8:$H$5007=$A17)*('[1]عهد ومصروفات دمياط'!$S$8:$S$5007=6)*'[1]عهد ومصروفات دمياط'!$T$8:$T$5007),0))</f>
        <v/>
      </c>
      <c r="U17" s="24">
        <f>IF($A17="","",N(S17)-N(T17))</f>
        <v/>
      </c>
      <c r="V17" s="22" t="n">
        <v>29700</v>
      </c>
      <c r="W17" s="23">
        <f>IF($A17="","",IFERROR(SUMPRODUCT(('[1]عهد ومصروفات دمياط'!$H$8:$H$5007=$A17)*('[1]عهد ومصروفات دمياط'!$S$8:$S$5007=7)*'[1]عهد ومصروفات دمياط'!$T$8:$T$5007),0))</f>
        <v/>
      </c>
      <c r="X17" s="24">
        <f>IF($A17="","",N(V17)-N(W17))</f>
        <v/>
      </c>
      <c r="Y17" s="22" t="n">
        <v>0</v>
      </c>
      <c r="Z17" s="23">
        <f>IF($A17="","",IFERROR(SUMPRODUCT(('[1]عهد ومصروفات دمياط'!$H$8:$H$5007=$A17)*('[1]عهد ومصروفات دمياط'!$S$8:$S$5007=8)*'[1]عهد ومصروفات دمياط'!$T$8:$T$5007),0))</f>
        <v/>
      </c>
      <c r="AA17" s="24">
        <f>IF($A17="","",N(Y17)-N(Z17))</f>
        <v/>
      </c>
      <c r="AB17" s="22" t="n">
        <v>0</v>
      </c>
      <c r="AC17" s="23">
        <f>IF($A17="","",IFERROR(SUMPRODUCT(('[1]عهد ومصروفات دمياط'!$H$8:$H$5007=$A17)*('[1]عهد ومصروفات دمياط'!$S$8:$S$5007=9)*'[1]عهد ومصروفات دمياط'!$T$8:$T$5007),0))</f>
        <v/>
      </c>
      <c r="AD17" s="24">
        <f>IF($A17="","",N(AB17)-N(AC17))</f>
        <v/>
      </c>
      <c r="AE17" s="22" t="n">
        <v>0</v>
      </c>
      <c r="AF17" s="23">
        <f>IF($A17="","",IFERROR(SUMPRODUCT(('[1]عهد ومصروفات دمياط'!$H$8:$H$5007=$A17)*('[1]عهد ومصروفات دمياط'!$S$8:$S$5007=10)*'[1]عهد ومصروفات دمياط'!$T$8:$T$5007),0))</f>
        <v/>
      </c>
      <c r="AG17" s="24">
        <f>IF($A17="","",N(AE17)-N(AF17))</f>
        <v/>
      </c>
      <c r="AH17" s="22" t="n">
        <v>0</v>
      </c>
      <c r="AI17" s="23">
        <f>IF($A17="","",IFERROR(SUMPRODUCT(('[1]عهد ومصروفات دمياط'!$H$8:$H$5007=$A17)*('[1]عهد ومصروفات دمياط'!$S$8:$S$5007=11)*'[1]عهد ومصروفات دمياط'!$T$8:$T$5007),0))</f>
        <v/>
      </c>
      <c r="AJ17" s="24">
        <f>IF($A17="","",N(AH17)-N(AI17))</f>
        <v/>
      </c>
      <c r="AK17" s="22" t="n">
        <v>0</v>
      </c>
      <c r="AL17" s="23">
        <f>IF($A17="","",IFERROR(SUMPRODUCT(('[1]عهد ومصروفات دمياط'!$H$8:$H$5007=$A17)*('[1]عهد ومصروفات دمياط'!$S$8:$S$5007=12)*'[1]عهد ومصروفات دمياط'!$T$8:$T$5007),0))</f>
        <v/>
      </c>
      <c r="AM17" s="24">
        <f>IF($A17="","",N(AK17)-N(AL17))</f>
        <v/>
      </c>
      <c r="AN17" s="25">
        <f>IF(A17="","",N(D17)+N(G17)+N(J17)+N(M17)+N(P17)+N(S17)+N(V17)+N(Y17)+N(AB17)+N(AE17)+N(AH17)+N(AK17))</f>
        <v/>
      </c>
      <c r="AO17" s="25">
        <f>IF(A17="","",N(E17)+N(H17)+N(K17)+N(N17)+N(Q17)+N(T17)+N(W17)+N(Z17)+N(AC17)+N(AF17)+N(AI17)+N(AL17))</f>
        <v/>
      </c>
      <c r="AP17" s="26">
        <f>IF(A17="","",N(B17)-AO17)</f>
        <v/>
      </c>
      <c r="AQ17">
        <f>IF(A17="",0,(N(F17)&lt;0)+(N(I17)&lt;0)+(N(L17)&lt;0)+(N(O17)&lt;0)+(N(R17)&lt;0)+(N(U17)&lt;0)+(N(X17)&lt;0)+(N(AA17)&lt;0)+(N(AD17)&lt;0)+(N(AG17)&lt;0)+(N(AJ17)&lt;0)+(N(AM17)&lt;0))</f>
        <v/>
      </c>
      <c r="AR17">
        <f>IF(A17="",0,MAX(0,-N(F17))+MAX(0,-N(I17))+MAX(0,-N(L17))+MAX(0,-N(O17))+MAX(0,-N(R17))+MAX(0,-N(U17))+MAX(0,-N(X17))+MAX(0,-N(AA17))+MAX(0,-N(AD17))+MAX(0,-N(AG17))+MAX(0,-N(AJ17))+MAX(0,-N(AM17)))</f>
        <v/>
      </c>
      <c r="AS17">
        <f>IF(A17="",0,IF(OR(N(AP17)&lt;0,AQ17&gt;0),1,0))</f>
        <v/>
      </c>
      <c r="AT17">
        <f>AT16+AS17</f>
        <v/>
      </c>
      <c r="AU17">
        <f>IF(A17="",-1,N(AO17)+ROW()/10000000)</f>
        <v/>
      </c>
    </row>
    <row r="18">
      <c r="A18" s="19" t="inlineStr">
        <is>
          <t>وجبات الموقع – الصف الثانى</t>
        </is>
      </c>
      <c r="B18" s="20" t="n">
        <v>56100</v>
      </c>
      <c r="C18" s="21">
        <f>IF(A18="","",N(B18)/12)</f>
        <v/>
      </c>
      <c r="D18" s="22" t="n">
        <v>0</v>
      </c>
      <c r="E18" s="23">
        <f>IF($A18="","",IFERROR(SUMPRODUCT(('[1]عهد ومصروفات دمياط'!$H$8:$H$5007=$A18)*('[1]عهد ومصروفات دمياط'!$S$8:$S$5007=1)*'[1]عهد ومصروفات دمياط'!$T$8:$T$5007),0))</f>
        <v/>
      </c>
      <c r="F18" s="24">
        <f>IF($A18="","",N(D18)-N(E18))</f>
        <v/>
      </c>
      <c r="G18" s="22" t="n">
        <v>0</v>
      </c>
      <c r="H18" s="23">
        <f>IF($A18="","",IFERROR(SUMPRODUCT(('[1]عهد ومصروفات دمياط'!$H$8:$H$5007=$A18)*('[1]عهد ومصروفات دمياط'!$S$8:$S$5007=2)*'[1]عهد ومصروفات دمياط'!$T$8:$T$5007),0))</f>
        <v/>
      </c>
      <c r="I18" s="24">
        <f>IF($A18="","",N(G18)-N(H18))</f>
        <v/>
      </c>
      <c r="J18" s="22" t="n">
        <v>0</v>
      </c>
      <c r="K18" s="23">
        <f>IF($A18="","",IFERROR(SUMPRODUCT(('[1]عهد ومصروفات دمياط'!$H$8:$H$5007=$A18)*('[1]عهد ومصروفات دمياط'!$S$8:$S$5007=3)*'[1]عهد ومصروفات دمياط'!$T$8:$T$5007),0))</f>
        <v/>
      </c>
      <c r="L18" s="24">
        <f>IF($A18="","",N(J18)-N(K18))</f>
        <v/>
      </c>
      <c r="M18" s="22" t="n">
        <v>0</v>
      </c>
      <c r="N18" s="23">
        <f>IF($A18="","",IFERROR(SUMPRODUCT(('[1]عهد ومصروفات دمياط'!$H$8:$H$5007=$A18)*('[1]عهد ومصروفات دمياط'!$S$8:$S$5007=4)*'[1]عهد ومصروفات دمياط'!$T$8:$T$5007),0))</f>
        <v/>
      </c>
      <c r="O18" s="24">
        <f>IF($A18="","",N(M18)-N(N18))</f>
        <v/>
      </c>
      <c r="P18" s="22" t="n">
        <v>0</v>
      </c>
      <c r="Q18" s="23">
        <f>IF($A18="","",IFERROR(SUMPRODUCT(('[1]عهد ومصروفات دمياط'!$H$8:$H$5007=$A18)*('[1]عهد ومصروفات دمياط'!$S$8:$S$5007=5)*'[1]عهد ومصروفات دمياط'!$T$8:$T$5007),0))</f>
        <v/>
      </c>
      <c r="R18" s="24">
        <f>IF($A18="","",N(P18)-N(Q18))</f>
        <v/>
      </c>
      <c r="S18" s="22" t="n">
        <v>20777.77777777778</v>
      </c>
      <c r="T18" s="23">
        <f>IF($A18="","",IFERROR(SUMPRODUCT(('[1]عهد ومصروفات دمياط'!$H$8:$H$5007=$A18)*('[1]عهد ومصروفات دمياط'!$S$8:$S$5007=6)*'[1]عهد ومصروفات دمياط'!$T$8:$T$5007),0))</f>
        <v/>
      </c>
      <c r="U18" s="24">
        <f>IF($A18="","",N(S18)-N(T18))</f>
        <v/>
      </c>
      <c r="V18" s="22" t="n">
        <v>35322.22222222223</v>
      </c>
      <c r="W18" s="23">
        <f>IF($A18="","",IFERROR(SUMPRODUCT(('[1]عهد ومصروفات دمياط'!$H$8:$H$5007=$A18)*('[1]عهد ومصروفات دمياط'!$S$8:$S$5007=7)*'[1]عهد ومصروفات دمياط'!$T$8:$T$5007),0))</f>
        <v/>
      </c>
      <c r="X18" s="24">
        <f>IF($A18="","",N(V18)-N(W18))</f>
        <v/>
      </c>
      <c r="Y18" s="22" t="n">
        <v>0</v>
      </c>
      <c r="Z18" s="23">
        <f>IF($A18="","",IFERROR(SUMPRODUCT(('[1]عهد ومصروفات دمياط'!$H$8:$H$5007=$A18)*('[1]عهد ومصروفات دمياط'!$S$8:$S$5007=8)*'[1]عهد ومصروفات دمياط'!$T$8:$T$5007),0))</f>
        <v/>
      </c>
      <c r="AA18" s="24">
        <f>IF($A18="","",N(Y18)-N(Z18))</f>
        <v/>
      </c>
      <c r="AB18" s="22" t="n">
        <v>0</v>
      </c>
      <c r="AC18" s="23">
        <f>IF($A18="","",IFERROR(SUMPRODUCT(('[1]عهد ومصروفات دمياط'!$H$8:$H$5007=$A18)*('[1]عهد ومصروفات دمياط'!$S$8:$S$5007=9)*'[1]عهد ومصروفات دمياط'!$T$8:$T$5007),0))</f>
        <v/>
      </c>
      <c r="AD18" s="24">
        <f>IF($A18="","",N(AB18)-N(AC18))</f>
        <v/>
      </c>
      <c r="AE18" s="22" t="n">
        <v>0</v>
      </c>
      <c r="AF18" s="23">
        <f>IF($A18="","",IFERROR(SUMPRODUCT(('[1]عهد ومصروفات دمياط'!$H$8:$H$5007=$A18)*('[1]عهد ومصروفات دمياط'!$S$8:$S$5007=10)*'[1]عهد ومصروفات دمياط'!$T$8:$T$5007),0))</f>
        <v/>
      </c>
      <c r="AG18" s="24">
        <f>IF($A18="","",N(AE18)-N(AF18))</f>
        <v/>
      </c>
      <c r="AH18" s="22" t="n">
        <v>0</v>
      </c>
      <c r="AI18" s="23">
        <f>IF($A18="","",IFERROR(SUMPRODUCT(('[1]عهد ومصروفات دمياط'!$H$8:$H$5007=$A18)*('[1]عهد ومصروفات دمياط'!$S$8:$S$5007=11)*'[1]عهد ومصروفات دمياط'!$T$8:$T$5007),0))</f>
        <v/>
      </c>
      <c r="AJ18" s="24">
        <f>IF($A18="","",N(AH18)-N(AI18))</f>
        <v/>
      </c>
      <c r="AK18" s="22" t="n">
        <v>0</v>
      </c>
      <c r="AL18" s="23">
        <f>IF($A18="","",IFERROR(SUMPRODUCT(('[1]عهد ومصروفات دمياط'!$H$8:$H$5007=$A18)*('[1]عهد ومصروفات دمياط'!$S$8:$S$5007=12)*'[1]عهد ومصروفات دمياط'!$T$8:$T$5007),0))</f>
        <v/>
      </c>
      <c r="AM18" s="24">
        <f>IF($A18="","",N(AK18)-N(AL18))</f>
        <v/>
      </c>
      <c r="AN18" s="25">
        <f>IF(A18="","",N(D18)+N(G18)+N(J18)+N(M18)+N(P18)+N(S18)+N(V18)+N(Y18)+N(AB18)+N(AE18)+N(AH18)+N(AK18))</f>
        <v/>
      </c>
      <c r="AO18" s="25">
        <f>IF(A18="","",N(E18)+N(H18)+N(K18)+N(N18)+N(Q18)+N(T18)+N(W18)+N(Z18)+N(AC18)+N(AF18)+N(AI18)+N(AL18))</f>
        <v/>
      </c>
      <c r="AP18" s="26">
        <f>IF(A18="","",N(B18)-AO18)</f>
        <v/>
      </c>
      <c r="AQ18">
        <f>IF(A18="",0,(N(F18)&lt;0)+(N(I18)&lt;0)+(N(L18)&lt;0)+(N(O18)&lt;0)+(N(R18)&lt;0)+(N(U18)&lt;0)+(N(X18)&lt;0)+(N(AA18)&lt;0)+(N(AD18)&lt;0)+(N(AG18)&lt;0)+(N(AJ18)&lt;0)+(N(AM18)&lt;0))</f>
        <v/>
      </c>
      <c r="AR18">
        <f>IF(A18="",0,MAX(0,-N(F18))+MAX(0,-N(I18))+MAX(0,-N(L18))+MAX(0,-N(O18))+MAX(0,-N(R18))+MAX(0,-N(U18))+MAX(0,-N(X18))+MAX(0,-N(AA18))+MAX(0,-N(AD18))+MAX(0,-N(AG18))+MAX(0,-N(AJ18))+MAX(0,-N(AM18)))</f>
        <v/>
      </c>
      <c r="AS18">
        <f>IF(A18="",0,IF(OR(N(AP18)&lt;0,AQ18&gt;0),1,0))</f>
        <v/>
      </c>
      <c r="AT18">
        <f>AT17+AS18</f>
        <v/>
      </c>
      <c r="AU18">
        <f>IF(A18="",-1,N(AO18)+ROW()/10000000)</f>
        <v/>
      </c>
    </row>
    <row r="19">
      <c r="A19" s="19" t="inlineStr">
        <is>
          <t>التأمين على الطلاب والعاملين</t>
        </is>
      </c>
      <c r="B19" s="20" t="n">
        <v>42750</v>
      </c>
      <c r="C19" s="21">
        <f>IF(A19="","",N(B19)/12)</f>
        <v/>
      </c>
      <c r="D19" s="22" t="n">
        <v>42750</v>
      </c>
      <c r="E19" s="23">
        <f>IF($A19="","",IFERROR(SUMPRODUCT(('[1]عهد ومصروفات دمياط'!$H$8:$H$5007=$A19)*('[1]عهد ومصروفات دمياط'!$S$8:$S$5007=1)*'[1]عهد ومصروفات دمياط'!$T$8:$T$5007),0))</f>
        <v/>
      </c>
      <c r="F19" s="24">
        <f>IF($A19="","",N(D19)-N(E19))</f>
        <v/>
      </c>
      <c r="G19" s="22" t="n">
        <v>0</v>
      </c>
      <c r="H19" s="23">
        <f>IF($A19="","",IFERROR(SUMPRODUCT(('[1]عهد ومصروفات دمياط'!$H$8:$H$5007=$A19)*('[1]عهد ومصروفات دمياط'!$S$8:$S$5007=2)*'[1]عهد ومصروفات دمياط'!$T$8:$T$5007),0))</f>
        <v/>
      </c>
      <c r="I19" s="24">
        <f>IF($A19="","",N(G19)-N(H19))</f>
        <v/>
      </c>
      <c r="J19" s="22" t="n">
        <v>0</v>
      </c>
      <c r="K19" s="23">
        <f>IF($A19="","",IFERROR(SUMPRODUCT(('[1]عهد ومصروفات دمياط'!$H$8:$H$5007=$A19)*('[1]عهد ومصروفات دمياط'!$S$8:$S$5007=3)*'[1]عهد ومصروفات دمياط'!$T$8:$T$5007),0))</f>
        <v/>
      </c>
      <c r="L19" s="24">
        <f>IF($A19="","",N(J19)-N(K19))</f>
        <v/>
      </c>
      <c r="M19" s="22" t="n">
        <v>0</v>
      </c>
      <c r="N19" s="23">
        <f>IF($A19="","",IFERROR(SUMPRODUCT(('[1]عهد ومصروفات دمياط'!$H$8:$H$5007=$A19)*('[1]عهد ومصروفات دمياط'!$S$8:$S$5007=4)*'[1]عهد ومصروفات دمياط'!$T$8:$T$5007),0))</f>
        <v/>
      </c>
      <c r="O19" s="24">
        <f>IF($A19="","",N(M19)-N(N19))</f>
        <v/>
      </c>
      <c r="P19" s="22" t="n">
        <v>0</v>
      </c>
      <c r="Q19" s="23">
        <f>IF($A19="","",IFERROR(SUMPRODUCT(('[1]عهد ومصروفات دمياط'!$H$8:$H$5007=$A19)*('[1]عهد ومصروفات دمياط'!$S$8:$S$5007=5)*'[1]عهد ومصروفات دمياط'!$T$8:$T$5007),0))</f>
        <v/>
      </c>
      <c r="R19" s="24">
        <f>IF($A19="","",N(P19)-N(Q19))</f>
        <v/>
      </c>
      <c r="S19" s="22" t="n">
        <v>0</v>
      </c>
      <c r="T19" s="23">
        <f>IF($A19="","",IFERROR(SUMPRODUCT(('[1]عهد ومصروفات دمياط'!$H$8:$H$5007=$A19)*('[1]عهد ومصروفات دمياط'!$S$8:$S$5007=6)*'[1]عهد ومصروفات دمياط'!$T$8:$T$5007),0))</f>
        <v/>
      </c>
      <c r="U19" s="24">
        <f>IF($A19="","",N(S19)-N(T19))</f>
        <v/>
      </c>
      <c r="V19" s="22" t="n">
        <v>0</v>
      </c>
      <c r="W19" s="23">
        <f>IF($A19="","",IFERROR(SUMPRODUCT(('[1]عهد ومصروفات دمياط'!$H$8:$H$5007=$A19)*('[1]عهد ومصروفات دمياط'!$S$8:$S$5007=7)*'[1]عهد ومصروفات دمياط'!$T$8:$T$5007),0))</f>
        <v/>
      </c>
      <c r="X19" s="24">
        <f>IF($A19="","",N(V19)-N(W19))</f>
        <v/>
      </c>
      <c r="Y19" s="22" t="n">
        <v>0</v>
      </c>
      <c r="Z19" s="23">
        <f>IF($A19="","",IFERROR(SUMPRODUCT(('[1]عهد ومصروفات دمياط'!$H$8:$H$5007=$A19)*('[1]عهد ومصروفات دمياط'!$S$8:$S$5007=8)*'[1]عهد ومصروفات دمياط'!$T$8:$T$5007),0))</f>
        <v/>
      </c>
      <c r="AA19" s="24">
        <f>IF($A19="","",N(Y19)-N(Z19))</f>
        <v/>
      </c>
      <c r="AB19" s="22" t="n">
        <v>0</v>
      </c>
      <c r="AC19" s="23">
        <f>IF($A19="","",IFERROR(SUMPRODUCT(('[1]عهد ومصروفات دمياط'!$H$8:$H$5007=$A19)*('[1]عهد ومصروفات دمياط'!$S$8:$S$5007=9)*'[1]عهد ومصروفات دمياط'!$T$8:$T$5007),0))</f>
        <v/>
      </c>
      <c r="AD19" s="24">
        <f>IF($A19="","",N(AB19)-N(AC19))</f>
        <v/>
      </c>
      <c r="AE19" s="22" t="n">
        <v>0</v>
      </c>
      <c r="AF19" s="23">
        <f>IF($A19="","",IFERROR(SUMPRODUCT(('[1]عهد ومصروفات دمياط'!$H$8:$H$5007=$A19)*('[1]عهد ومصروفات دمياط'!$S$8:$S$5007=10)*'[1]عهد ومصروفات دمياط'!$T$8:$T$5007),0))</f>
        <v/>
      </c>
      <c r="AG19" s="24">
        <f>IF($A19="","",N(AE19)-N(AF19))</f>
        <v/>
      </c>
      <c r="AH19" s="22" t="n">
        <v>0</v>
      </c>
      <c r="AI19" s="23">
        <f>IF($A19="","",IFERROR(SUMPRODUCT(('[1]عهد ومصروفات دمياط'!$H$8:$H$5007=$A19)*('[1]عهد ومصروفات دمياط'!$S$8:$S$5007=11)*'[1]عهد ومصروفات دمياط'!$T$8:$T$5007),0))</f>
        <v/>
      </c>
      <c r="AJ19" s="24">
        <f>IF($A19="","",N(AH19)-N(AI19))</f>
        <v/>
      </c>
      <c r="AK19" s="22" t="n">
        <v>0</v>
      </c>
      <c r="AL19" s="23">
        <f>IF($A19="","",IFERROR(SUMPRODUCT(('[1]عهد ومصروفات دمياط'!$H$8:$H$5007=$A19)*('[1]عهد ومصروفات دمياط'!$S$8:$S$5007=12)*'[1]عهد ومصروفات دمياط'!$T$8:$T$5007),0))</f>
        <v/>
      </c>
      <c r="AM19" s="24">
        <f>IF($A19="","",N(AK19)-N(AL19))</f>
        <v/>
      </c>
      <c r="AN19" s="25">
        <f>IF(A19="","",N(D19)+N(G19)+N(J19)+N(M19)+N(P19)+N(S19)+N(V19)+N(Y19)+N(AB19)+N(AE19)+N(AH19)+N(AK19))</f>
        <v/>
      </c>
      <c r="AO19" s="25">
        <f>IF(A19="","",N(E19)+N(H19)+N(K19)+N(N19)+N(Q19)+N(T19)+N(W19)+N(Z19)+N(AC19)+N(AF19)+N(AI19)+N(AL19))</f>
        <v/>
      </c>
      <c r="AP19" s="26">
        <f>IF(A19="","",N(B19)-AO19)</f>
        <v/>
      </c>
      <c r="AQ19">
        <f>IF(A19="",0,(N(F19)&lt;0)+(N(I19)&lt;0)+(N(L19)&lt;0)+(N(O19)&lt;0)+(N(R19)&lt;0)+(N(U19)&lt;0)+(N(X19)&lt;0)+(N(AA19)&lt;0)+(N(AD19)&lt;0)+(N(AG19)&lt;0)+(N(AJ19)&lt;0)+(N(AM19)&lt;0))</f>
        <v/>
      </c>
      <c r="AR19">
        <f>IF(A19="",0,MAX(0,-N(F19))+MAX(0,-N(I19))+MAX(0,-N(L19))+MAX(0,-N(O19))+MAX(0,-N(R19))+MAX(0,-N(U19))+MAX(0,-N(X19))+MAX(0,-N(AA19))+MAX(0,-N(AD19))+MAX(0,-N(AG19))+MAX(0,-N(AJ19))+MAX(0,-N(AM19)))</f>
        <v/>
      </c>
      <c r="AS19">
        <f>IF(A19="",0,IF(OR(N(AP19)&lt;0,AQ19&gt;0),1,0))</f>
        <v/>
      </c>
      <c r="AT19">
        <f>AT18+AS19</f>
        <v/>
      </c>
      <c r="AU19">
        <f>IF(A19="",-1,N(AO19)+ROW()/10000000)</f>
        <v/>
      </c>
    </row>
    <row r="20">
      <c r="A20" s="19" t="inlineStr">
        <is>
          <t>حافز برنامج المهارات الحياتية (سمات)</t>
        </is>
      </c>
      <c r="B20" s="20" t="n">
        <v>100000</v>
      </c>
      <c r="C20" s="21">
        <f>IF(A20="","",N(B20)/12)</f>
        <v/>
      </c>
      <c r="D20" s="22" t="n">
        <v>10000</v>
      </c>
      <c r="E20" s="23">
        <f>IF($A20="","",IFERROR(SUMPRODUCT(('[1]عهد ومصروفات دمياط'!$H$8:$H$5007=$A20)*('[1]عهد ومصروفات دمياط'!$S$8:$S$5007=1)*'[1]عهد ومصروفات دمياط'!$T$8:$T$5007),0))</f>
        <v/>
      </c>
      <c r="F20" s="24">
        <f>IF($A20="","",N(D20)-N(E20))</f>
        <v/>
      </c>
      <c r="G20" s="22" t="n">
        <v>10000</v>
      </c>
      <c r="H20" s="23">
        <f>IF($A20="","",IFERROR(SUMPRODUCT(('[1]عهد ومصروفات دمياط'!$H$8:$H$5007=$A20)*('[1]عهد ومصروفات دمياط'!$S$8:$S$5007=2)*'[1]عهد ومصروفات دمياط'!$T$8:$T$5007),0))</f>
        <v/>
      </c>
      <c r="I20" s="24">
        <f>IF($A20="","",N(G20)-N(H20))</f>
        <v/>
      </c>
      <c r="J20" s="22" t="n">
        <v>10000</v>
      </c>
      <c r="K20" s="23">
        <f>IF($A20="","",IFERROR(SUMPRODUCT(('[1]عهد ومصروفات دمياط'!$H$8:$H$5007=$A20)*('[1]عهد ومصروفات دمياط'!$S$8:$S$5007=3)*'[1]عهد ومصروفات دمياط'!$T$8:$T$5007),0))</f>
        <v/>
      </c>
      <c r="L20" s="24">
        <f>IF($A20="","",N(J20)-N(K20))</f>
        <v/>
      </c>
      <c r="M20" s="22" t="n">
        <v>10000</v>
      </c>
      <c r="N20" s="23">
        <f>IF($A20="","",IFERROR(SUMPRODUCT(('[1]عهد ومصروفات دمياط'!$H$8:$H$5007=$A20)*('[1]عهد ومصروفات دمياط'!$S$8:$S$5007=4)*'[1]عهد ومصروفات دمياط'!$T$8:$T$5007),0))</f>
        <v/>
      </c>
      <c r="O20" s="24">
        <f>IF($A20="","",N(M20)-N(N20))</f>
        <v/>
      </c>
      <c r="P20" s="22" t="n">
        <v>15000</v>
      </c>
      <c r="Q20" s="23">
        <f>IF($A20="","",IFERROR(SUMPRODUCT(('[1]عهد ومصروفات دمياط'!$H$8:$H$5007=$A20)*('[1]عهد ومصروفات دمياط'!$S$8:$S$5007=5)*'[1]عهد ومصروفات دمياط'!$T$8:$T$5007),0))</f>
        <v/>
      </c>
      <c r="R20" s="24">
        <f>IF($A20="","",N(P20)-N(Q20))</f>
        <v/>
      </c>
      <c r="S20" s="22" t="n">
        <v>15000</v>
      </c>
      <c r="T20" s="23">
        <f>IF($A20="","",IFERROR(SUMPRODUCT(('[1]عهد ومصروفات دمياط'!$H$8:$H$5007=$A20)*('[1]عهد ومصروفات دمياط'!$S$8:$S$5007=6)*'[1]عهد ومصروفات دمياط'!$T$8:$T$5007),0))</f>
        <v/>
      </c>
      <c r="U20" s="24">
        <f>IF($A20="","",N(S20)-N(T20))</f>
        <v/>
      </c>
      <c r="V20" s="22" t="n">
        <v>15000</v>
      </c>
      <c r="W20" s="23">
        <f>IF($A20="","",IFERROR(SUMPRODUCT(('[1]عهد ومصروفات دمياط'!$H$8:$H$5007=$A20)*('[1]عهد ومصروفات دمياط'!$S$8:$S$5007=7)*'[1]عهد ومصروفات دمياط'!$T$8:$T$5007),0))</f>
        <v/>
      </c>
      <c r="X20" s="24">
        <f>IF($A20="","",N(V20)-N(W20))</f>
        <v/>
      </c>
      <c r="Y20" s="22" t="n">
        <v>15000</v>
      </c>
      <c r="Z20" s="23">
        <f>IF($A20="","",IFERROR(SUMPRODUCT(('[1]عهد ومصروفات دمياط'!$H$8:$H$5007=$A20)*('[1]عهد ومصروفات دمياط'!$S$8:$S$5007=8)*'[1]عهد ومصروفات دمياط'!$T$8:$T$5007),0))</f>
        <v/>
      </c>
      <c r="AA20" s="24">
        <f>IF($A20="","",N(Y20)-N(Z20))</f>
        <v/>
      </c>
      <c r="AB20" s="22" t="n">
        <v>0</v>
      </c>
      <c r="AC20" s="23">
        <f>IF($A20="","",IFERROR(SUMPRODUCT(('[1]عهد ومصروفات دمياط'!$H$8:$H$5007=$A20)*('[1]عهد ومصروفات دمياط'!$S$8:$S$5007=9)*'[1]عهد ومصروفات دمياط'!$T$8:$T$5007),0))</f>
        <v/>
      </c>
      <c r="AD20" s="24">
        <f>IF($A20="","",N(AB20)-N(AC20))</f>
        <v/>
      </c>
      <c r="AE20" s="22" t="n">
        <v>0</v>
      </c>
      <c r="AF20" s="23">
        <f>IF($A20="","",IFERROR(SUMPRODUCT(('[1]عهد ومصروفات دمياط'!$H$8:$H$5007=$A20)*('[1]عهد ومصروفات دمياط'!$S$8:$S$5007=10)*'[1]عهد ومصروفات دمياط'!$T$8:$T$5007),0))</f>
        <v/>
      </c>
      <c r="AG20" s="24">
        <f>IF($A20="","",N(AE20)-N(AF20))</f>
        <v/>
      </c>
      <c r="AH20" s="22" t="n">
        <v>0</v>
      </c>
      <c r="AI20" s="23">
        <f>IF($A20="","",IFERROR(SUMPRODUCT(('[1]عهد ومصروفات دمياط'!$H$8:$H$5007=$A20)*('[1]عهد ومصروفات دمياط'!$S$8:$S$5007=11)*'[1]عهد ومصروفات دمياط'!$T$8:$T$5007),0))</f>
        <v/>
      </c>
      <c r="AJ20" s="24">
        <f>IF($A20="","",N(AH20)-N(AI20))</f>
        <v/>
      </c>
      <c r="AK20" s="22" t="n">
        <v>0</v>
      </c>
      <c r="AL20" s="23">
        <f>IF($A20="","",IFERROR(SUMPRODUCT(('[1]عهد ومصروفات دمياط'!$H$8:$H$5007=$A20)*('[1]عهد ومصروفات دمياط'!$S$8:$S$5007=12)*'[1]عهد ومصروفات دمياط'!$T$8:$T$5007),0))</f>
        <v/>
      </c>
      <c r="AM20" s="24">
        <f>IF($A20="","",N(AK20)-N(AL20))</f>
        <v/>
      </c>
      <c r="AN20" s="25">
        <f>IF(A20="","",N(D20)+N(G20)+N(J20)+N(M20)+N(P20)+N(S20)+N(V20)+N(Y20)+N(AB20)+N(AE20)+N(AH20)+N(AK20))</f>
        <v/>
      </c>
      <c r="AO20" s="25">
        <f>IF(A20="","",N(E20)+N(H20)+N(K20)+N(N20)+N(Q20)+N(T20)+N(W20)+N(Z20)+N(AC20)+N(AF20)+N(AI20)+N(AL20))</f>
        <v/>
      </c>
      <c r="AP20" s="26">
        <f>IF(A20="","",N(B20)-AO20)</f>
        <v/>
      </c>
      <c r="AQ20">
        <f>IF(A20="",0,(N(F20)&lt;0)+(N(I20)&lt;0)+(N(L20)&lt;0)+(N(O20)&lt;0)+(N(R20)&lt;0)+(N(U20)&lt;0)+(N(X20)&lt;0)+(N(AA20)&lt;0)+(N(AD20)&lt;0)+(N(AG20)&lt;0)+(N(AJ20)&lt;0)+(N(AM20)&lt;0))</f>
        <v/>
      </c>
      <c r="AR20">
        <f>IF(A20="",0,MAX(0,-N(F20))+MAX(0,-N(I20))+MAX(0,-N(L20))+MAX(0,-N(O20))+MAX(0,-N(R20))+MAX(0,-N(U20))+MAX(0,-N(X20))+MAX(0,-N(AA20))+MAX(0,-N(AD20))+MAX(0,-N(AG20))+MAX(0,-N(AJ20))+MAX(0,-N(AM20)))</f>
        <v/>
      </c>
      <c r="AS20">
        <f>IF(A20="",0,IF(OR(N(AP20)&lt;0,AQ20&gt;0),1,0))</f>
        <v/>
      </c>
      <c r="AT20">
        <f>AT19+AS20</f>
        <v/>
      </c>
      <c r="AU20">
        <f>IF(A20="",-1,N(AO20)+ROW()/10000000)</f>
        <v/>
      </c>
    </row>
    <row r="21">
      <c r="A21" s="19" t="inlineStr">
        <is>
          <t>مطبوعات</t>
        </is>
      </c>
      <c r="B21" s="20" t="n">
        <v>38250</v>
      </c>
      <c r="C21" s="21">
        <f>IF(A21="","",N(B21)/12)</f>
        <v/>
      </c>
      <c r="D21" s="22" t="n">
        <v>38250</v>
      </c>
      <c r="E21" s="23">
        <f>IF($A21="","",IFERROR(SUMPRODUCT(('[1]عهد ومصروفات دمياط'!$H$8:$H$5007=$A21)*('[1]عهد ومصروفات دمياط'!$S$8:$S$5007=1)*'[1]عهد ومصروفات دمياط'!$T$8:$T$5007),0))</f>
        <v/>
      </c>
      <c r="F21" s="24">
        <f>IF($A21="","",N(D21)-N(E21))</f>
        <v/>
      </c>
      <c r="G21" s="22" t="n">
        <v>0</v>
      </c>
      <c r="H21" s="23">
        <f>IF($A21="","",IFERROR(SUMPRODUCT(('[1]عهد ومصروفات دمياط'!$H$8:$H$5007=$A21)*('[1]عهد ومصروفات دمياط'!$S$8:$S$5007=2)*'[1]عهد ومصروفات دمياط'!$T$8:$T$5007),0))</f>
        <v/>
      </c>
      <c r="I21" s="24">
        <f>IF($A21="","",N(G21)-N(H21))</f>
        <v/>
      </c>
      <c r="J21" s="22" t="n">
        <v>0</v>
      </c>
      <c r="K21" s="23">
        <f>IF($A21="","",IFERROR(SUMPRODUCT(('[1]عهد ومصروفات دمياط'!$H$8:$H$5007=$A21)*('[1]عهد ومصروفات دمياط'!$S$8:$S$5007=3)*'[1]عهد ومصروفات دمياط'!$T$8:$T$5007),0))</f>
        <v/>
      </c>
      <c r="L21" s="24">
        <f>IF($A21="","",N(J21)-N(K21))</f>
        <v/>
      </c>
      <c r="M21" s="22" t="n">
        <v>0</v>
      </c>
      <c r="N21" s="23">
        <f>IF($A21="","",IFERROR(SUMPRODUCT(('[1]عهد ومصروفات دمياط'!$H$8:$H$5007=$A21)*('[1]عهد ومصروفات دمياط'!$S$8:$S$5007=4)*'[1]عهد ومصروفات دمياط'!$T$8:$T$5007),0))</f>
        <v/>
      </c>
      <c r="O21" s="24">
        <f>IF($A21="","",N(M21)-N(N21))</f>
        <v/>
      </c>
      <c r="P21" s="22" t="n">
        <v>0</v>
      </c>
      <c r="Q21" s="23">
        <f>IF($A21="","",IFERROR(SUMPRODUCT(('[1]عهد ومصروفات دمياط'!$H$8:$H$5007=$A21)*('[1]عهد ومصروفات دمياط'!$S$8:$S$5007=5)*'[1]عهد ومصروفات دمياط'!$T$8:$T$5007),0))</f>
        <v/>
      </c>
      <c r="R21" s="24">
        <f>IF($A21="","",N(P21)-N(Q21))</f>
        <v/>
      </c>
      <c r="S21" s="22" t="n">
        <v>0</v>
      </c>
      <c r="T21" s="23">
        <f>IF($A21="","",IFERROR(SUMPRODUCT(('[1]عهد ومصروفات دمياط'!$H$8:$H$5007=$A21)*('[1]عهد ومصروفات دمياط'!$S$8:$S$5007=6)*'[1]عهد ومصروفات دمياط'!$T$8:$T$5007),0))</f>
        <v/>
      </c>
      <c r="U21" s="24">
        <f>IF($A21="","",N(S21)-N(T21))</f>
        <v/>
      </c>
      <c r="V21" s="22" t="n">
        <v>0</v>
      </c>
      <c r="W21" s="23">
        <f>IF($A21="","",IFERROR(SUMPRODUCT(('[1]عهد ومصروفات دمياط'!$H$8:$H$5007=$A21)*('[1]عهد ومصروفات دمياط'!$S$8:$S$5007=7)*'[1]عهد ومصروفات دمياط'!$T$8:$T$5007),0))</f>
        <v/>
      </c>
      <c r="X21" s="24">
        <f>IF($A21="","",N(V21)-N(W21))</f>
        <v/>
      </c>
      <c r="Y21" s="22" t="n">
        <v>0</v>
      </c>
      <c r="Z21" s="23">
        <f>IF($A21="","",IFERROR(SUMPRODUCT(('[1]عهد ومصروفات دمياط'!$H$8:$H$5007=$A21)*('[1]عهد ومصروفات دمياط'!$S$8:$S$5007=8)*'[1]عهد ومصروفات دمياط'!$T$8:$T$5007),0))</f>
        <v/>
      </c>
      <c r="AA21" s="24">
        <f>IF($A21="","",N(Y21)-N(Z21))</f>
        <v/>
      </c>
      <c r="AB21" s="22" t="n">
        <v>0</v>
      </c>
      <c r="AC21" s="23">
        <f>IF($A21="","",IFERROR(SUMPRODUCT(('[1]عهد ومصروفات دمياط'!$H$8:$H$5007=$A21)*('[1]عهد ومصروفات دمياط'!$S$8:$S$5007=9)*'[1]عهد ومصروفات دمياط'!$T$8:$T$5007),0))</f>
        <v/>
      </c>
      <c r="AD21" s="24">
        <f>IF($A21="","",N(AB21)-N(AC21))</f>
        <v/>
      </c>
      <c r="AE21" s="22" t="n">
        <v>0</v>
      </c>
      <c r="AF21" s="23">
        <f>IF($A21="","",IFERROR(SUMPRODUCT(('[1]عهد ومصروفات دمياط'!$H$8:$H$5007=$A21)*('[1]عهد ومصروفات دمياط'!$S$8:$S$5007=10)*'[1]عهد ومصروفات دمياط'!$T$8:$T$5007),0))</f>
        <v/>
      </c>
      <c r="AG21" s="24">
        <f>IF($A21="","",N(AE21)-N(AF21))</f>
        <v/>
      </c>
      <c r="AH21" s="22" t="n">
        <v>0</v>
      </c>
      <c r="AI21" s="23">
        <f>IF($A21="","",IFERROR(SUMPRODUCT(('[1]عهد ومصروفات دمياط'!$H$8:$H$5007=$A21)*('[1]عهد ومصروفات دمياط'!$S$8:$S$5007=11)*'[1]عهد ومصروفات دمياط'!$T$8:$T$5007),0))</f>
        <v/>
      </c>
      <c r="AJ21" s="24">
        <f>IF($A21="","",N(AH21)-N(AI21))</f>
        <v/>
      </c>
      <c r="AK21" s="22" t="n">
        <v>0</v>
      </c>
      <c r="AL21" s="23">
        <f>IF($A21="","",IFERROR(SUMPRODUCT(('[1]عهد ومصروفات دمياط'!$H$8:$H$5007=$A21)*('[1]عهد ومصروفات دمياط'!$S$8:$S$5007=12)*'[1]عهد ومصروفات دمياط'!$T$8:$T$5007),0))</f>
        <v/>
      </c>
      <c r="AM21" s="24">
        <f>IF($A21="","",N(AK21)-N(AL21))</f>
        <v/>
      </c>
      <c r="AN21" s="25">
        <f>IF(A21="","",N(D21)+N(G21)+N(J21)+N(M21)+N(P21)+N(S21)+N(V21)+N(Y21)+N(AB21)+N(AE21)+N(AH21)+N(AK21))</f>
        <v/>
      </c>
      <c r="AO21" s="25">
        <f>IF(A21="","",N(E21)+N(H21)+N(K21)+N(N21)+N(Q21)+N(T21)+N(W21)+N(Z21)+N(AC21)+N(AF21)+N(AI21)+N(AL21))</f>
        <v/>
      </c>
      <c r="AP21" s="26">
        <f>IF(A21="","",N(B21)-AO21)</f>
        <v/>
      </c>
      <c r="AQ21">
        <f>IF(A21="",0,(N(F21)&lt;0)+(N(I21)&lt;0)+(N(L21)&lt;0)+(N(O21)&lt;0)+(N(R21)&lt;0)+(N(U21)&lt;0)+(N(X21)&lt;0)+(N(AA21)&lt;0)+(N(AD21)&lt;0)+(N(AG21)&lt;0)+(N(AJ21)&lt;0)+(N(AM21)&lt;0))</f>
        <v/>
      </c>
      <c r="AR21">
        <f>IF(A21="",0,MAX(0,-N(F21))+MAX(0,-N(I21))+MAX(0,-N(L21))+MAX(0,-N(O21))+MAX(0,-N(R21))+MAX(0,-N(U21))+MAX(0,-N(X21))+MAX(0,-N(AA21))+MAX(0,-N(AD21))+MAX(0,-N(AG21))+MAX(0,-N(AJ21))+MAX(0,-N(AM21)))</f>
        <v/>
      </c>
      <c r="AS21">
        <f>IF(A21="",0,IF(OR(N(AP21)&lt;0,AQ21&gt;0),1,0))</f>
        <v/>
      </c>
      <c r="AT21">
        <f>AT20+AS21</f>
        <v/>
      </c>
      <c r="AU21">
        <f>IF(A21="",-1,N(AO21)+ROW()/10000000)</f>
        <v/>
      </c>
    </row>
    <row r="22">
      <c r="A22" s="19" t="inlineStr">
        <is>
          <t>مستهلكات ورش ومعامل</t>
        </is>
      </c>
      <c r="B22" s="20" t="n">
        <v>102000</v>
      </c>
      <c r="C22" s="21">
        <f>IF(A22="","",N(B22)/12)</f>
        <v/>
      </c>
      <c r="D22" s="22" t="n">
        <v>12750</v>
      </c>
      <c r="E22" s="23">
        <f>IF($A22="","",IFERROR(SUMPRODUCT(('[1]عهد ومصروفات دمياط'!$H$8:$H$5007=$A22)*('[1]عهد ومصروفات دمياط'!$S$8:$S$5007=1)*'[1]عهد ومصروفات دمياط'!$T$8:$T$5007),0))</f>
        <v/>
      </c>
      <c r="F22" s="24">
        <f>IF($A22="","",N(D22)-N(E22))</f>
        <v/>
      </c>
      <c r="G22" s="22" t="n">
        <v>12750</v>
      </c>
      <c r="H22" s="23">
        <f>IF($A22="","",IFERROR(SUMPRODUCT(('[1]عهد ومصروفات دمياط'!$H$8:$H$5007=$A22)*('[1]عهد ومصروفات دمياط'!$S$8:$S$5007=2)*'[1]عهد ومصروفات دمياط'!$T$8:$T$5007),0))</f>
        <v/>
      </c>
      <c r="I22" s="24">
        <f>IF($A22="","",N(G22)-N(H22))</f>
        <v/>
      </c>
      <c r="J22" s="22" t="n">
        <v>12750</v>
      </c>
      <c r="K22" s="23">
        <f>IF($A22="","",IFERROR(SUMPRODUCT(('[1]عهد ومصروفات دمياط'!$H$8:$H$5007=$A22)*('[1]عهد ومصروفات دمياط'!$S$8:$S$5007=3)*'[1]عهد ومصروفات دمياط'!$T$8:$T$5007),0))</f>
        <v/>
      </c>
      <c r="L22" s="24">
        <f>IF($A22="","",N(J22)-N(K22))</f>
        <v/>
      </c>
      <c r="M22" s="22" t="n">
        <v>12750</v>
      </c>
      <c r="N22" s="23">
        <f>IF($A22="","",IFERROR(SUMPRODUCT(('[1]عهد ومصروفات دمياط'!$H$8:$H$5007=$A22)*('[1]عهد ومصروفات دمياط'!$S$8:$S$5007=4)*'[1]عهد ومصروفات دمياط'!$T$8:$T$5007),0))</f>
        <v/>
      </c>
      <c r="O22" s="24">
        <f>IF($A22="","",N(M22)-N(N22))</f>
        <v/>
      </c>
      <c r="P22" s="22" t="n">
        <v>12750</v>
      </c>
      <c r="Q22" s="23">
        <f>IF($A22="","",IFERROR(SUMPRODUCT(('[1]عهد ومصروفات دمياط'!$H$8:$H$5007=$A22)*('[1]عهد ومصروفات دمياط'!$S$8:$S$5007=5)*'[1]عهد ومصروفات دمياط'!$T$8:$T$5007),0))</f>
        <v/>
      </c>
      <c r="R22" s="24">
        <f>IF($A22="","",N(P22)-N(Q22))</f>
        <v/>
      </c>
      <c r="S22" s="22" t="n">
        <v>12750</v>
      </c>
      <c r="T22" s="23">
        <f>IF($A22="","",IFERROR(SUMPRODUCT(('[1]عهد ومصروفات دمياط'!$H$8:$H$5007=$A22)*('[1]عهد ومصروفات دمياط'!$S$8:$S$5007=6)*'[1]عهد ومصروفات دمياط'!$T$8:$T$5007),0))</f>
        <v/>
      </c>
      <c r="U22" s="24">
        <f>IF($A22="","",N(S22)-N(T22))</f>
        <v/>
      </c>
      <c r="V22" s="22" t="n">
        <v>12750</v>
      </c>
      <c r="W22" s="23">
        <f>IF($A22="","",IFERROR(SUMPRODUCT(('[1]عهد ومصروفات دمياط'!$H$8:$H$5007=$A22)*('[1]عهد ومصروفات دمياط'!$S$8:$S$5007=7)*'[1]عهد ومصروفات دمياط'!$T$8:$T$5007),0))</f>
        <v/>
      </c>
      <c r="X22" s="24">
        <f>IF($A22="","",N(V22)-N(W22))</f>
        <v/>
      </c>
      <c r="Y22" s="22" t="n">
        <v>12750</v>
      </c>
      <c r="Z22" s="23">
        <f>IF($A22="","",IFERROR(SUMPRODUCT(('[1]عهد ومصروفات دمياط'!$H$8:$H$5007=$A22)*('[1]عهد ومصروفات دمياط'!$S$8:$S$5007=8)*'[1]عهد ومصروفات دمياط'!$T$8:$T$5007),0))</f>
        <v/>
      </c>
      <c r="AA22" s="24">
        <f>IF($A22="","",N(Y22)-N(Z22))</f>
        <v/>
      </c>
      <c r="AB22" s="22" t="n">
        <v>0</v>
      </c>
      <c r="AC22" s="23">
        <f>IF($A22="","",IFERROR(SUMPRODUCT(('[1]عهد ومصروفات دمياط'!$H$8:$H$5007=$A22)*('[1]عهد ومصروفات دمياط'!$S$8:$S$5007=9)*'[1]عهد ومصروفات دمياط'!$T$8:$T$5007),0))</f>
        <v/>
      </c>
      <c r="AD22" s="24">
        <f>IF($A22="","",N(AB22)-N(AC22))</f>
        <v/>
      </c>
      <c r="AE22" s="22" t="n">
        <v>0</v>
      </c>
      <c r="AF22" s="23">
        <f>IF($A22="","",IFERROR(SUMPRODUCT(('[1]عهد ومصروفات دمياط'!$H$8:$H$5007=$A22)*('[1]عهد ومصروفات دمياط'!$S$8:$S$5007=10)*'[1]عهد ومصروفات دمياط'!$T$8:$T$5007),0))</f>
        <v/>
      </c>
      <c r="AG22" s="24">
        <f>IF($A22="","",N(AE22)-N(AF22))</f>
        <v/>
      </c>
      <c r="AH22" s="22" t="n">
        <v>0</v>
      </c>
      <c r="AI22" s="23">
        <f>IF($A22="","",IFERROR(SUMPRODUCT(('[1]عهد ومصروفات دمياط'!$H$8:$H$5007=$A22)*('[1]عهد ومصروفات دمياط'!$S$8:$S$5007=11)*'[1]عهد ومصروفات دمياط'!$T$8:$T$5007),0))</f>
        <v/>
      </c>
      <c r="AJ22" s="24">
        <f>IF($A22="","",N(AH22)-N(AI22))</f>
        <v/>
      </c>
      <c r="AK22" s="22" t="n">
        <v>0</v>
      </c>
      <c r="AL22" s="23">
        <f>IF($A22="","",IFERROR(SUMPRODUCT(('[1]عهد ومصروفات دمياط'!$H$8:$H$5007=$A22)*('[1]عهد ومصروفات دمياط'!$S$8:$S$5007=12)*'[1]عهد ومصروفات دمياط'!$T$8:$T$5007),0))</f>
        <v/>
      </c>
      <c r="AM22" s="24">
        <f>IF($A22="","",N(AK22)-N(AL22))</f>
        <v/>
      </c>
      <c r="AN22" s="25">
        <f>IF(A22="","",N(D22)+N(G22)+N(J22)+N(M22)+N(P22)+N(S22)+N(V22)+N(Y22)+N(AB22)+N(AE22)+N(AH22)+N(AK22))</f>
        <v/>
      </c>
      <c r="AO22" s="25">
        <f>IF(A22="","",N(E22)+N(H22)+N(K22)+N(N22)+N(Q22)+N(T22)+N(W22)+N(Z22)+N(AC22)+N(AF22)+N(AI22)+N(AL22))</f>
        <v/>
      </c>
      <c r="AP22" s="26">
        <f>IF(A22="","",N(B22)-AO22)</f>
        <v/>
      </c>
      <c r="AQ22">
        <f>IF(A22="",0,(N(F22)&lt;0)+(N(I22)&lt;0)+(N(L22)&lt;0)+(N(O22)&lt;0)+(N(R22)&lt;0)+(N(U22)&lt;0)+(N(X22)&lt;0)+(N(AA22)&lt;0)+(N(AD22)&lt;0)+(N(AG22)&lt;0)+(N(AJ22)&lt;0)+(N(AM22)&lt;0))</f>
        <v/>
      </c>
      <c r="AR22">
        <f>IF(A22="",0,MAX(0,-N(F22))+MAX(0,-N(I22))+MAX(0,-N(L22))+MAX(0,-N(O22))+MAX(0,-N(R22))+MAX(0,-N(U22))+MAX(0,-N(X22))+MAX(0,-N(AA22))+MAX(0,-N(AD22))+MAX(0,-N(AG22))+MAX(0,-N(AJ22))+MAX(0,-N(AM22)))</f>
        <v/>
      </c>
      <c r="AS22">
        <f>IF(A22="",0,IF(OR(N(AP22)&lt;0,AQ22&gt;0),1,0))</f>
        <v/>
      </c>
      <c r="AT22">
        <f>AT21+AS22</f>
        <v/>
      </c>
      <c r="AU22">
        <f>IF(A22="",-1,N(AO22)+ROW()/10000000)</f>
        <v/>
      </c>
    </row>
    <row r="23">
      <c r="A23" s="19" t="inlineStr">
        <is>
          <t>مستهلكات وأدوات دراسية بالفصول</t>
        </is>
      </c>
      <c r="B23" s="20" t="n">
        <v>13200</v>
      </c>
      <c r="C23" s="21">
        <f>IF(A23="","",N(B23)/12)</f>
        <v/>
      </c>
      <c r="D23" s="22" t="n">
        <v>1650</v>
      </c>
      <c r="E23" s="23">
        <f>IF($A23="","",IFERROR(SUMPRODUCT(('[1]عهد ومصروفات دمياط'!$H$8:$H$5007=$A23)*('[1]عهد ومصروفات دمياط'!$S$8:$S$5007=1)*'[1]عهد ومصروفات دمياط'!$T$8:$T$5007),0))</f>
        <v/>
      </c>
      <c r="F23" s="24">
        <f>IF($A23="","",N(D23)-N(E23))</f>
        <v/>
      </c>
      <c r="G23" s="22" t="n">
        <v>1650</v>
      </c>
      <c r="H23" s="23">
        <f>IF($A23="","",IFERROR(SUMPRODUCT(('[1]عهد ومصروفات دمياط'!$H$8:$H$5007=$A23)*('[1]عهد ومصروفات دمياط'!$S$8:$S$5007=2)*'[1]عهد ومصروفات دمياط'!$T$8:$T$5007),0))</f>
        <v/>
      </c>
      <c r="I23" s="24">
        <f>IF($A23="","",N(G23)-N(H23))</f>
        <v/>
      </c>
      <c r="J23" s="22" t="n">
        <v>1650</v>
      </c>
      <c r="K23" s="23">
        <f>IF($A23="","",IFERROR(SUMPRODUCT(('[1]عهد ومصروفات دمياط'!$H$8:$H$5007=$A23)*('[1]عهد ومصروفات دمياط'!$S$8:$S$5007=3)*'[1]عهد ومصروفات دمياط'!$T$8:$T$5007),0))</f>
        <v/>
      </c>
      <c r="L23" s="24">
        <f>IF($A23="","",N(J23)-N(K23))</f>
        <v/>
      </c>
      <c r="M23" s="22" t="n">
        <v>1650</v>
      </c>
      <c r="N23" s="23">
        <f>IF($A23="","",IFERROR(SUMPRODUCT(('[1]عهد ومصروفات دمياط'!$H$8:$H$5007=$A23)*('[1]عهد ومصروفات دمياط'!$S$8:$S$5007=4)*'[1]عهد ومصروفات دمياط'!$T$8:$T$5007),0))</f>
        <v/>
      </c>
      <c r="O23" s="24">
        <f>IF($A23="","",N(M23)-N(N23))</f>
        <v/>
      </c>
      <c r="P23" s="22" t="n">
        <v>1650</v>
      </c>
      <c r="Q23" s="23">
        <f>IF($A23="","",IFERROR(SUMPRODUCT(('[1]عهد ومصروفات دمياط'!$H$8:$H$5007=$A23)*('[1]عهد ومصروفات دمياط'!$S$8:$S$5007=5)*'[1]عهد ومصروفات دمياط'!$T$8:$T$5007),0))</f>
        <v/>
      </c>
      <c r="R23" s="24">
        <f>IF($A23="","",N(P23)-N(Q23))</f>
        <v/>
      </c>
      <c r="S23" s="22" t="n">
        <v>1650</v>
      </c>
      <c r="T23" s="23">
        <f>IF($A23="","",IFERROR(SUMPRODUCT(('[1]عهد ومصروفات دمياط'!$H$8:$H$5007=$A23)*('[1]عهد ومصروفات دمياط'!$S$8:$S$5007=6)*'[1]عهد ومصروفات دمياط'!$T$8:$T$5007),0))</f>
        <v/>
      </c>
      <c r="U23" s="24">
        <f>IF($A23="","",N(S23)-N(T23))</f>
        <v/>
      </c>
      <c r="V23" s="22" t="n">
        <v>1650</v>
      </c>
      <c r="W23" s="23">
        <f>IF($A23="","",IFERROR(SUMPRODUCT(('[1]عهد ومصروفات دمياط'!$H$8:$H$5007=$A23)*('[1]عهد ومصروفات دمياط'!$S$8:$S$5007=7)*'[1]عهد ومصروفات دمياط'!$T$8:$T$5007),0))</f>
        <v/>
      </c>
      <c r="X23" s="24">
        <f>IF($A23="","",N(V23)-N(W23))</f>
        <v/>
      </c>
      <c r="Y23" s="22" t="n">
        <v>1650</v>
      </c>
      <c r="Z23" s="23">
        <f>IF($A23="","",IFERROR(SUMPRODUCT(('[1]عهد ومصروفات دمياط'!$H$8:$H$5007=$A23)*('[1]عهد ومصروفات دمياط'!$S$8:$S$5007=8)*'[1]عهد ومصروفات دمياط'!$T$8:$T$5007),0))</f>
        <v/>
      </c>
      <c r="AA23" s="24">
        <f>IF($A23="","",N(Y23)-N(Z23))</f>
        <v/>
      </c>
      <c r="AB23" s="22" t="n">
        <v>0</v>
      </c>
      <c r="AC23" s="23">
        <f>IF($A23="","",IFERROR(SUMPRODUCT(('[1]عهد ومصروفات دمياط'!$H$8:$H$5007=$A23)*('[1]عهد ومصروفات دمياط'!$S$8:$S$5007=9)*'[1]عهد ومصروفات دمياط'!$T$8:$T$5007),0))</f>
        <v/>
      </c>
      <c r="AD23" s="24">
        <f>IF($A23="","",N(AB23)-N(AC23))</f>
        <v/>
      </c>
      <c r="AE23" s="22" t="n">
        <v>0</v>
      </c>
      <c r="AF23" s="23">
        <f>IF($A23="","",IFERROR(SUMPRODUCT(('[1]عهد ومصروفات دمياط'!$H$8:$H$5007=$A23)*('[1]عهد ومصروفات دمياط'!$S$8:$S$5007=10)*'[1]عهد ومصروفات دمياط'!$T$8:$T$5007),0))</f>
        <v/>
      </c>
      <c r="AG23" s="24">
        <f>IF($A23="","",N(AE23)-N(AF23))</f>
        <v/>
      </c>
      <c r="AH23" s="22" t="n">
        <v>0</v>
      </c>
      <c r="AI23" s="23">
        <f>IF($A23="","",IFERROR(SUMPRODUCT(('[1]عهد ومصروفات دمياط'!$H$8:$H$5007=$A23)*('[1]عهد ومصروفات دمياط'!$S$8:$S$5007=11)*'[1]عهد ومصروفات دمياط'!$T$8:$T$5007),0))</f>
        <v/>
      </c>
      <c r="AJ23" s="24">
        <f>IF($A23="","",N(AH23)-N(AI23))</f>
        <v/>
      </c>
      <c r="AK23" s="22" t="n">
        <v>0</v>
      </c>
      <c r="AL23" s="23">
        <f>IF($A23="","",IFERROR(SUMPRODUCT(('[1]عهد ومصروفات دمياط'!$H$8:$H$5007=$A23)*('[1]عهد ومصروفات دمياط'!$S$8:$S$5007=12)*'[1]عهد ومصروفات دمياط'!$T$8:$T$5007),0))</f>
        <v/>
      </c>
      <c r="AM23" s="24">
        <f>IF($A23="","",N(AK23)-N(AL23))</f>
        <v/>
      </c>
      <c r="AN23" s="25">
        <f>IF(A23="","",N(D23)+N(G23)+N(J23)+N(M23)+N(P23)+N(S23)+N(V23)+N(Y23)+N(AB23)+N(AE23)+N(AH23)+N(AK23))</f>
        <v/>
      </c>
      <c r="AO23" s="25">
        <f>IF(A23="","",N(E23)+N(H23)+N(K23)+N(N23)+N(Q23)+N(T23)+N(W23)+N(Z23)+N(AC23)+N(AF23)+N(AI23)+N(AL23))</f>
        <v/>
      </c>
      <c r="AP23" s="26">
        <f>IF(A23="","",N(B23)-AO23)</f>
        <v/>
      </c>
      <c r="AQ23">
        <f>IF(A23="",0,(N(F23)&lt;0)+(N(I23)&lt;0)+(N(L23)&lt;0)+(N(O23)&lt;0)+(N(R23)&lt;0)+(N(U23)&lt;0)+(N(X23)&lt;0)+(N(AA23)&lt;0)+(N(AD23)&lt;0)+(N(AG23)&lt;0)+(N(AJ23)&lt;0)+(N(AM23)&lt;0))</f>
        <v/>
      </c>
      <c r="AR23">
        <f>IF(A23="",0,MAX(0,-N(F23))+MAX(0,-N(I23))+MAX(0,-N(L23))+MAX(0,-N(O23))+MAX(0,-N(R23))+MAX(0,-N(U23))+MAX(0,-N(X23))+MAX(0,-N(AA23))+MAX(0,-N(AD23))+MAX(0,-N(AG23))+MAX(0,-N(AJ23))+MAX(0,-N(AM23)))</f>
        <v/>
      </c>
      <c r="AS23">
        <f>IF(A23="",0,IF(OR(N(AP23)&lt;0,AQ23&gt;0),1,0))</f>
        <v/>
      </c>
      <c r="AT23">
        <f>AT22+AS23</f>
        <v/>
      </c>
      <c r="AU23">
        <f>IF(A23="",-1,N(AO23)+ROW()/10000000)</f>
        <v/>
      </c>
    </row>
    <row r="24">
      <c r="A24" s="19" t="inlineStr">
        <is>
          <t>تدريب الإداريين</t>
        </is>
      </c>
      <c r="B24" s="20" t="n">
        <v>52000</v>
      </c>
      <c r="C24" s="21">
        <f>IF(A24="","",N(B24)/12)</f>
        <v/>
      </c>
      <c r="D24" s="22" t="n">
        <v>0</v>
      </c>
      <c r="E24" s="23">
        <f>IF($A24="","",IFERROR(SUMPRODUCT(('[1]عهد ومصروفات دمياط'!$H$8:$H$5007=$A24)*('[1]عهد ومصروفات دمياط'!$S$8:$S$5007=1)*'[1]عهد ومصروفات دمياط'!$T$8:$T$5007),0))</f>
        <v/>
      </c>
      <c r="F24" s="24">
        <f>IF($A24="","",N(D24)-N(E24))</f>
        <v/>
      </c>
      <c r="G24" s="22" t="n">
        <v>0</v>
      </c>
      <c r="H24" s="23">
        <f>IF($A24="","",IFERROR(SUMPRODUCT(('[1]عهد ومصروفات دمياط'!$H$8:$H$5007=$A24)*('[1]عهد ومصروفات دمياط'!$S$8:$S$5007=2)*'[1]عهد ومصروفات دمياط'!$T$8:$T$5007),0))</f>
        <v/>
      </c>
      <c r="I24" s="24">
        <f>IF($A24="","",N(G24)-N(H24))</f>
        <v/>
      </c>
      <c r="J24" s="22" t="n">
        <v>0</v>
      </c>
      <c r="K24" s="23">
        <f>IF($A24="","",IFERROR(SUMPRODUCT(('[1]عهد ومصروفات دمياط'!$H$8:$H$5007=$A24)*('[1]عهد ومصروفات دمياط'!$S$8:$S$5007=3)*'[1]عهد ومصروفات دمياط'!$T$8:$T$5007),0))</f>
        <v/>
      </c>
      <c r="L24" s="24">
        <f>IF($A24="","",N(J24)-N(K24))</f>
        <v/>
      </c>
      <c r="M24" s="22" t="n">
        <v>0</v>
      </c>
      <c r="N24" s="23">
        <f>IF($A24="","",IFERROR(SUMPRODUCT(('[1]عهد ومصروفات دمياط'!$H$8:$H$5007=$A24)*('[1]عهد ومصروفات دمياط'!$S$8:$S$5007=4)*'[1]عهد ومصروفات دمياط'!$T$8:$T$5007),0))</f>
        <v/>
      </c>
      <c r="O24" s="24">
        <f>IF($A24="","",N(M24)-N(N24))</f>
        <v/>
      </c>
      <c r="P24" s="22" t="n">
        <v>0</v>
      </c>
      <c r="Q24" s="23">
        <f>IF($A24="","",IFERROR(SUMPRODUCT(('[1]عهد ومصروفات دمياط'!$H$8:$H$5007=$A24)*('[1]عهد ومصروفات دمياط'!$S$8:$S$5007=5)*'[1]عهد ومصروفات دمياط'!$T$8:$T$5007),0))</f>
        <v/>
      </c>
      <c r="R24" s="24">
        <f>IF($A24="","",N(P24)-N(Q24))</f>
        <v/>
      </c>
      <c r="S24" s="22" t="n">
        <v>0</v>
      </c>
      <c r="T24" s="23">
        <f>IF($A24="","",IFERROR(SUMPRODUCT(('[1]عهد ومصروفات دمياط'!$H$8:$H$5007=$A24)*('[1]عهد ومصروفات دمياط'!$S$8:$S$5007=6)*'[1]عهد ومصروفات دمياط'!$T$8:$T$5007),0))</f>
        <v/>
      </c>
      <c r="U24" s="24">
        <f>IF($A24="","",N(S24)-N(T24))</f>
        <v/>
      </c>
      <c r="V24" s="22" t="n">
        <v>0</v>
      </c>
      <c r="W24" s="23">
        <f>IF($A24="","",IFERROR(SUMPRODUCT(('[1]عهد ومصروفات دمياط'!$H$8:$H$5007=$A24)*('[1]عهد ومصروفات دمياط'!$S$8:$S$5007=7)*'[1]عهد ومصروفات دمياط'!$T$8:$T$5007),0))</f>
        <v/>
      </c>
      <c r="X24" s="24">
        <f>IF($A24="","",N(V24)-N(W24))</f>
        <v/>
      </c>
      <c r="Y24" s="22" t="n">
        <v>0</v>
      </c>
      <c r="Z24" s="23">
        <f>IF($A24="","",IFERROR(SUMPRODUCT(('[1]عهد ومصروفات دمياط'!$H$8:$H$5007=$A24)*('[1]عهد ومصروفات دمياط'!$S$8:$S$5007=8)*'[1]عهد ومصروفات دمياط'!$T$8:$T$5007),0))</f>
        <v/>
      </c>
      <c r="AA24" s="24">
        <f>IF($A24="","",N(Y24)-N(Z24))</f>
        <v/>
      </c>
      <c r="AB24" s="22" t="n">
        <v>0</v>
      </c>
      <c r="AC24" s="23">
        <f>IF($A24="","",IFERROR(SUMPRODUCT(('[1]عهد ومصروفات دمياط'!$H$8:$H$5007=$A24)*('[1]عهد ومصروفات دمياط'!$S$8:$S$5007=9)*'[1]عهد ومصروفات دمياط'!$T$8:$T$5007),0))</f>
        <v/>
      </c>
      <c r="AD24" s="24">
        <f>IF($A24="","",N(AB24)-N(AC24))</f>
        <v/>
      </c>
      <c r="AE24" s="22" t="n">
        <v>0</v>
      </c>
      <c r="AF24" s="23">
        <f>IF($A24="","",IFERROR(SUMPRODUCT(('[1]عهد ومصروفات دمياط'!$H$8:$H$5007=$A24)*('[1]عهد ومصروفات دمياط'!$S$8:$S$5007=10)*'[1]عهد ومصروفات دمياط'!$T$8:$T$5007),0))</f>
        <v/>
      </c>
      <c r="AG24" s="24">
        <f>IF($A24="","",N(AE24)-N(AF24))</f>
        <v/>
      </c>
      <c r="AH24" s="22" t="n">
        <v>52000</v>
      </c>
      <c r="AI24" s="23">
        <f>IF($A24="","",IFERROR(SUMPRODUCT(('[1]عهد ومصروفات دمياط'!$H$8:$H$5007=$A24)*('[1]عهد ومصروفات دمياط'!$S$8:$S$5007=11)*'[1]عهد ومصروفات دمياط'!$T$8:$T$5007),0))</f>
        <v/>
      </c>
      <c r="AJ24" s="24">
        <f>IF($A24="","",N(AH24)-N(AI24))</f>
        <v/>
      </c>
      <c r="AK24" s="22" t="n">
        <v>0</v>
      </c>
      <c r="AL24" s="23">
        <f>IF($A24="","",IFERROR(SUMPRODUCT(('[1]عهد ومصروفات دمياط'!$H$8:$H$5007=$A24)*('[1]عهد ومصروفات دمياط'!$S$8:$S$5007=12)*'[1]عهد ومصروفات دمياط'!$T$8:$T$5007),0))</f>
        <v/>
      </c>
      <c r="AM24" s="24">
        <f>IF($A24="","",N(AK24)-N(AL24))</f>
        <v/>
      </c>
      <c r="AN24" s="25">
        <f>IF(A24="","",N(D24)+N(G24)+N(J24)+N(M24)+N(P24)+N(S24)+N(V24)+N(Y24)+N(AB24)+N(AE24)+N(AH24)+N(AK24))</f>
        <v/>
      </c>
      <c r="AO24" s="25">
        <f>IF(A24="","",N(E24)+N(H24)+N(K24)+N(N24)+N(Q24)+N(T24)+N(W24)+N(Z24)+N(AC24)+N(AF24)+N(AI24)+N(AL24))</f>
        <v/>
      </c>
      <c r="AP24" s="26">
        <f>IF(A24="","",N(B24)-AO24)</f>
        <v/>
      </c>
      <c r="AQ24">
        <f>IF(A24="",0,(N(F24)&lt;0)+(N(I24)&lt;0)+(N(L24)&lt;0)+(N(O24)&lt;0)+(N(R24)&lt;0)+(N(U24)&lt;0)+(N(X24)&lt;0)+(N(AA24)&lt;0)+(N(AD24)&lt;0)+(N(AG24)&lt;0)+(N(AJ24)&lt;0)+(N(AM24)&lt;0))</f>
        <v/>
      </c>
      <c r="AR24">
        <f>IF(A24="",0,MAX(0,-N(F24))+MAX(0,-N(I24))+MAX(0,-N(L24))+MAX(0,-N(O24))+MAX(0,-N(R24))+MAX(0,-N(U24))+MAX(0,-N(X24))+MAX(0,-N(AA24))+MAX(0,-N(AD24))+MAX(0,-N(AG24))+MAX(0,-N(AJ24))+MAX(0,-N(AM24)))</f>
        <v/>
      </c>
      <c r="AS24">
        <f>IF(A24="",0,IF(OR(N(AP24)&lt;0,AQ24&gt;0),1,0))</f>
        <v/>
      </c>
      <c r="AT24">
        <f>AT23+AS24</f>
        <v/>
      </c>
      <c r="AU24">
        <f>IF(A24="",-1,N(AO24)+ROW()/10000000)</f>
        <v/>
      </c>
    </row>
    <row r="25">
      <c r="A25" s="19" t="inlineStr">
        <is>
          <t>عقد شركة النظافة</t>
        </is>
      </c>
      <c r="B25" s="20" t="n">
        <v>369600</v>
      </c>
      <c r="C25" s="21">
        <f>IF(A25="","",N(B25)/12)</f>
        <v/>
      </c>
      <c r="D25" s="22" t="n">
        <v>27200</v>
      </c>
      <c r="E25" s="23">
        <f>IF($A25="","",IFERROR(SUMPRODUCT(('[1]عهد ومصروفات دمياط'!$H$8:$H$5007=$A25)*('[1]عهد ومصروفات دمياط'!$S$8:$S$5007=1)*'[1]عهد ومصروفات دمياط'!$T$8:$T$5007),0))</f>
        <v/>
      </c>
      <c r="F25" s="24">
        <f>IF($A25="","",N(D25)-N(E25))</f>
        <v/>
      </c>
      <c r="G25" s="22" t="n">
        <v>27200</v>
      </c>
      <c r="H25" s="23">
        <f>IF($A25="","",IFERROR(SUMPRODUCT(('[1]عهد ومصروفات دمياط'!$H$8:$H$5007=$A25)*('[1]عهد ومصروفات دمياط'!$S$8:$S$5007=2)*'[1]عهد ومصروفات دمياط'!$T$8:$T$5007),0))</f>
        <v/>
      </c>
      <c r="I25" s="24">
        <f>IF($A25="","",N(G25)-N(H25))</f>
        <v/>
      </c>
      <c r="J25" s="22" t="n">
        <v>27200</v>
      </c>
      <c r="K25" s="23">
        <f>IF($A25="","",IFERROR(SUMPRODUCT(('[1]عهد ومصروفات دمياط'!$H$8:$H$5007=$A25)*('[1]عهد ومصروفات دمياط'!$S$8:$S$5007=3)*'[1]عهد ومصروفات دمياط'!$T$8:$T$5007),0))</f>
        <v/>
      </c>
      <c r="L25" s="24">
        <f>IF($A25="","",N(J25)-N(K25))</f>
        <v/>
      </c>
      <c r="M25" s="22" t="n">
        <v>27200</v>
      </c>
      <c r="N25" s="23">
        <f>IF($A25="","",IFERROR(SUMPRODUCT(('[1]عهد ومصروفات دمياط'!$H$8:$H$5007=$A25)*('[1]عهد ومصروفات دمياط'!$S$8:$S$5007=4)*'[1]عهد ومصروفات دمياط'!$T$8:$T$5007),0))</f>
        <v/>
      </c>
      <c r="O25" s="24">
        <f>IF($A25="","",N(M25)-N(N25))</f>
        <v/>
      </c>
      <c r="P25" s="22" t="n">
        <v>27200</v>
      </c>
      <c r="Q25" s="23">
        <f>IF($A25="","",IFERROR(SUMPRODUCT(('[1]عهد ومصروفات دمياط'!$H$8:$H$5007=$A25)*('[1]عهد ومصروفات دمياط'!$S$8:$S$5007=5)*'[1]عهد ومصروفات دمياط'!$T$8:$T$5007),0))</f>
        <v/>
      </c>
      <c r="R25" s="24">
        <f>IF($A25="","",N(P25)-N(Q25))</f>
        <v/>
      </c>
      <c r="S25" s="22" t="n">
        <v>27200</v>
      </c>
      <c r="T25" s="23">
        <f>IF($A25="","",IFERROR(SUMPRODUCT(('[1]عهد ومصروفات دمياط'!$H$8:$H$5007=$A25)*('[1]عهد ومصروفات دمياط'!$S$8:$S$5007=6)*'[1]عهد ومصروفات دمياط'!$T$8:$T$5007),0))</f>
        <v/>
      </c>
      <c r="U25" s="24">
        <f>IF($A25="","",N(S25)-N(T25))</f>
        <v/>
      </c>
      <c r="V25" s="22" t="n">
        <v>27200</v>
      </c>
      <c r="W25" s="23">
        <f>IF($A25="","",IFERROR(SUMPRODUCT(('[1]عهد ومصروفات دمياط'!$H$8:$H$5007=$A25)*('[1]عهد ومصروفات دمياط'!$S$8:$S$5007=7)*'[1]عهد ومصروفات دمياط'!$T$8:$T$5007),0))</f>
        <v/>
      </c>
      <c r="X25" s="24">
        <f>IF($A25="","",N(V25)-N(W25))</f>
        <v/>
      </c>
      <c r="Y25" s="22" t="n">
        <v>27200</v>
      </c>
      <c r="Z25" s="23">
        <f>IF($A25="","",IFERROR(SUMPRODUCT(('[1]عهد ومصروفات دمياط'!$H$8:$H$5007=$A25)*('[1]عهد ومصروفات دمياط'!$S$8:$S$5007=8)*'[1]عهد ومصروفات دمياط'!$T$8:$T$5007),0))</f>
        <v/>
      </c>
      <c r="AA25" s="24">
        <f>IF($A25="","",N(Y25)-N(Z25))</f>
        <v/>
      </c>
      <c r="AB25" s="22" t="n">
        <v>27200</v>
      </c>
      <c r="AC25" s="23">
        <f>IF($A25="","",IFERROR(SUMPRODUCT(('[1]عهد ومصروفات دمياط'!$H$8:$H$5007=$A25)*('[1]عهد ومصروفات دمياط'!$S$8:$S$5007=9)*'[1]عهد ومصروفات دمياط'!$T$8:$T$5007),0))</f>
        <v/>
      </c>
      <c r="AD25" s="24">
        <f>IF($A25="","",N(AB25)-N(AC25))</f>
        <v/>
      </c>
      <c r="AE25" s="22" t="n">
        <v>27200</v>
      </c>
      <c r="AF25" s="23">
        <f>IF($A25="","",IFERROR(SUMPRODUCT(('[1]عهد ومصروفات دمياط'!$H$8:$H$5007=$A25)*('[1]عهد ومصروفات دمياط'!$S$8:$S$5007=10)*'[1]عهد ومصروفات دمياط'!$T$8:$T$5007),0))</f>
        <v/>
      </c>
      <c r="AG25" s="24">
        <f>IF($A25="","",N(AE25)-N(AF25))</f>
        <v/>
      </c>
      <c r="AH25" s="22" t="n">
        <v>27200</v>
      </c>
      <c r="AI25" s="23">
        <f>IF($A25="","",IFERROR(SUMPRODUCT(('[1]عهد ومصروفات دمياط'!$H$8:$H$5007=$A25)*('[1]عهد ومصروفات دمياط'!$S$8:$S$5007=11)*'[1]عهد ومصروفات دمياط'!$T$8:$T$5007),0))</f>
        <v/>
      </c>
      <c r="AJ25" s="24">
        <f>IF($A25="","",N(AH25)-N(AI25))</f>
        <v/>
      </c>
      <c r="AK25" s="22" t="n">
        <v>27200</v>
      </c>
      <c r="AL25" s="23">
        <f>IF($A25="","",IFERROR(SUMPRODUCT(('[1]عهد ومصروفات دمياط'!$H$8:$H$5007=$A25)*('[1]عهد ومصروفات دمياط'!$S$8:$S$5007=12)*'[1]عهد ومصروفات دمياط'!$T$8:$T$5007),0))</f>
        <v/>
      </c>
      <c r="AM25" s="24">
        <f>IF($A25="","",N(AK25)-N(AL25))</f>
        <v/>
      </c>
      <c r="AN25" s="25">
        <f>IF(A25="","",N(D25)+N(G25)+N(J25)+N(M25)+N(P25)+N(S25)+N(V25)+N(Y25)+N(AB25)+N(AE25)+N(AH25)+N(AK25))</f>
        <v/>
      </c>
      <c r="AO25" s="25">
        <f>IF(A25="","",N(E25)+N(H25)+N(K25)+N(N25)+N(Q25)+N(T25)+N(W25)+N(Z25)+N(AC25)+N(AF25)+N(AI25)+N(AL25))</f>
        <v/>
      </c>
      <c r="AP25" s="26">
        <f>IF(A25="","",N(B25)-AO25)</f>
        <v/>
      </c>
      <c r="AQ25">
        <f>IF(A25="",0,(N(F25)&lt;0)+(N(I25)&lt;0)+(N(L25)&lt;0)+(N(O25)&lt;0)+(N(R25)&lt;0)+(N(U25)&lt;0)+(N(X25)&lt;0)+(N(AA25)&lt;0)+(N(AD25)&lt;0)+(N(AG25)&lt;0)+(N(AJ25)&lt;0)+(N(AM25)&lt;0))</f>
        <v/>
      </c>
      <c r="AR25">
        <f>IF(A25="",0,MAX(0,-N(F25))+MAX(0,-N(I25))+MAX(0,-N(L25))+MAX(0,-N(O25))+MAX(0,-N(R25))+MAX(0,-N(U25))+MAX(0,-N(X25))+MAX(0,-N(AA25))+MAX(0,-N(AD25))+MAX(0,-N(AG25))+MAX(0,-N(AJ25))+MAX(0,-N(AM25)))</f>
        <v/>
      </c>
      <c r="AS25">
        <f>IF(A25="",0,IF(OR(N(AP25)&lt;0,AQ25&gt;0),1,0))</f>
        <v/>
      </c>
      <c r="AT25">
        <f>AT24+AS25</f>
        <v/>
      </c>
      <c r="AU25">
        <f>IF(A25="",-1,N(AO25)+ROW()/10000000)</f>
        <v/>
      </c>
    </row>
    <row r="26">
      <c r="A26" s="19" t="inlineStr">
        <is>
          <t>عقد شركة الأمن</t>
        </is>
      </c>
      <c r="B26" s="20" t="n">
        <v>369600</v>
      </c>
      <c r="C26" s="21">
        <f>IF(A26="","",N(B26)/12)</f>
        <v/>
      </c>
      <c r="D26" s="22" t="n">
        <v>27200</v>
      </c>
      <c r="E26" s="23">
        <f>IF($A26="","",IFERROR(SUMPRODUCT(('[1]عهد ومصروفات دمياط'!$H$8:$H$5007=$A26)*('[1]عهد ومصروفات دمياط'!$S$8:$S$5007=1)*'[1]عهد ومصروفات دمياط'!$T$8:$T$5007),0))</f>
        <v/>
      </c>
      <c r="F26" s="24">
        <f>IF($A26="","",N(D26)-N(E26))</f>
        <v/>
      </c>
      <c r="G26" s="22" t="n">
        <v>27200</v>
      </c>
      <c r="H26" s="23">
        <f>IF($A26="","",IFERROR(SUMPRODUCT(('[1]عهد ومصروفات دمياط'!$H$8:$H$5007=$A26)*('[1]عهد ومصروفات دمياط'!$S$8:$S$5007=2)*'[1]عهد ومصروفات دمياط'!$T$8:$T$5007),0))</f>
        <v/>
      </c>
      <c r="I26" s="24">
        <f>IF($A26="","",N(G26)-N(H26))</f>
        <v/>
      </c>
      <c r="J26" s="22" t="n">
        <v>27200</v>
      </c>
      <c r="K26" s="23">
        <f>IF($A26="","",IFERROR(SUMPRODUCT(('[1]عهد ومصروفات دمياط'!$H$8:$H$5007=$A26)*('[1]عهد ومصروفات دمياط'!$S$8:$S$5007=3)*'[1]عهد ومصروفات دمياط'!$T$8:$T$5007),0))</f>
        <v/>
      </c>
      <c r="L26" s="24">
        <f>IF($A26="","",N(J26)-N(K26))</f>
        <v/>
      </c>
      <c r="M26" s="22" t="n">
        <v>27200</v>
      </c>
      <c r="N26" s="23">
        <f>IF($A26="","",IFERROR(SUMPRODUCT(('[1]عهد ومصروفات دمياط'!$H$8:$H$5007=$A26)*('[1]عهد ومصروفات دمياط'!$S$8:$S$5007=4)*'[1]عهد ومصروفات دمياط'!$T$8:$T$5007),0))</f>
        <v/>
      </c>
      <c r="O26" s="24">
        <f>IF($A26="","",N(M26)-N(N26))</f>
        <v/>
      </c>
      <c r="P26" s="22" t="n">
        <v>27200</v>
      </c>
      <c r="Q26" s="23">
        <f>IF($A26="","",IFERROR(SUMPRODUCT(('[1]عهد ومصروفات دمياط'!$H$8:$H$5007=$A26)*('[1]عهد ومصروفات دمياط'!$S$8:$S$5007=5)*'[1]عهد ومصروفات دمياط'!$T$8:$T$5007),0))</f>
        <v/>
      </c>
      <c r="R26" s="24">
        <f>IF($A26="","",N(P26)-N(Q26))</f>
        <v/>
      </c>
      <c r="S26" s="22" t="n">
        <v>27200</v>
      </c>
      <c r="T26" s="23">
        <f>IF($A26="","",IFERROR(SUMPRODUCT(('[1]عهد ومصروفات دمياط'!$H$8:$H$5007=$A26)*('[1]عهد ومصروفات دمياط'!$S$8:$S$5007=6)*'[1]عهد ومصروفات دمياط'!$T$8:$T$5007),0))</f>
        <v/>
      </c>
      <c r="U26" s="24">
        <f>IF($A26="","",N(S26)-N(T26))</f>
        <v/>
      </c>
      <c r="V26" s="22" t="n">
        <v>27200</v>
      </c>
      <c r="W26" s="23">
        <f>IF($A26="","",IFERROR(SUMPRODUCT(('[1]عهد ومصروفات دمياط'!$H$8:$H$5007=$A26)*('[1]عهد ومصروفات دمياط'!$S$8:$S$5007=7)*'[1]عهد ومصروفات دمياط'!$T$8:$T$5007),0))</f>
        <v/>
      </c>
      <c r="X26" s="24">
        <f>IF($A26="","",N(V26)-N(W26))</f>
        <v/>
      </c>
      <c r="Y26" s="22" t="n">
        <v>27200</v>
      </c>
      <c r="Z26" s="23">
        <f>IF($A26="","",IFERROR(SUMPRODUCT(('[1]عهد ومصروفات دمياط'!$H$8:$H$5007=$A26)*('[1]عهد ومصروفات دمياط'!$S$8:$S$5007=8)*'[1]عهد ومصروفات دمياط'!$T$8:$T$5007),0))</f>
        <v/>
      </c>
      <c r="AA26" s="24">
        <f>IF($A26="","",N(Y26)-N(Z26))</f>
        <v/>
      </c>
      <c r="AB26" s="22" t="n">
        <v>27200</v>
      </c>
      <c r="AC26" s="23">
        <f>IF($A26="","",IFERROR(SUMPRODUCT(('[1]عهد ومصروفات دمياط'!$H$8:$H$5007=$A26)*('[1]عهد ومصروفات دمياط'!$S$8:$S$5007=9)*'[1]عهد ومصروفات دمياط'!$T$8:$T$5007),0))</f>
        <v/>
      </c>
      <c r="AD26" s="24">
        <f>IF($A26="","",N(AB26)-N(AC26))</f>
        <v/>
      </c>
      <c r="AE26" s="22" t="n">
        <v>27200</v>
      </c>
      <c r="AF26" s="23">
        <f>IF($A26="","",IFERROR(SUMPRODUCT(('[1]عهد ومصروفات دمياط'!$H$8:$H$5007=$A26)*('[1]عهد ومصروفات دمياط'!$S$8:$S$5007=10)*'[1]عهد ومصروفات دمياط'!$T$8:$T$5007),0))</f>
        <v/>
      </c>
      <c r="AG26" s="24">
        <f>IF($A26="","",N(AE26)-N(AF26))</f>
        <v/>
      </c>
      <c r="AH26" s="22" t="n">
        <v>27200</v>
      </c>
      <c r="AI26" s="23">
        <f>IF($A26="","",IFERROR(SUMPRODUCT(('[1]عهد ومصروفات دمياط'!$H$8:$H$5007=$A26)*('[1]عهد ومصروفات دمياط'!$S$8:$S$5007=11)*'[1]عهد ومصروفات دمياط'!$T$8:$T$5007),0))</f>
        <v/>
      </c>
      <c r="AJ26" s="24">
        <f>IF($A26="","",N(AH26)-N(AI26))</f>
        <v/>
      </c>
      <c r="AK26" s="22" t="n">
        <v>27200</v>
      </c>
      <c r="AL26" s="23">
        <f>IF($A26="","",IFERROR(SUMPRODUCT(('[1]عهد ومصروفات دمياط'!$H$8:$H$5007=$A26)*('[1]عهد ومصروفات دمياط'!$S$8:$S$5007=12)*'[1]عهد ومصروفات دمياط'!$T$8:$T$5007),0))</f>
        <v/>
      </c>
      <c r="AM26" s="24">
        <f>IF($A26="","",N(AK26)-N(AL26))</f>
        <v/>
      </c>
      <c r="AN26" s="25">
        <f>IF(A26="","",N(D26)+N(G26)+N(J26)+N(M26)+N(P26)+N(S26)+N(V26)+N(Y26)+N(AB26)+N(AE26)+N(AH26)+N(AK26))</f>
        <v/>
      </c>
      <c r="AO26" s="25">
        <f>IF(A26="","",N(E26)+N(H26)+N(K26)+N(N26)+N(Q26)+N(T26)+N(W26)+N(Z26)+N(AC26)+N(AF26)+N(AI26)+N(AL26))</f>
        <v/>
      </c>
      <c r="AP26" s="26">
        <f>IF(A26="","",N(B26)-AO26)</f>
        <v/>
      </c>
      <c r="AQ26">
        <f>IF(A26="",0,(N(F26)&lt;0)+(N(I26)&lt;0)+(N(L26)&lt;0)+(N(O26)&lt;0)+(N(R26)&lt;0)+(N(U26)&lt;0)+(N(X26)&lt;0)+(N(AA26)&lt;0)+(N(AD26)&lt;0)+(N(AG26)&lt;0)+(N(AJ26)&lt;0)+(N(AM26)&lt;0))</f>
        <v/>
      </c>
      <c r="AR26">
        <f>IF(A26="",0,MAX(0,-N(F26))+MAX(0,-N(I26))+MAX(0,-N(L26))+MAX(0,-N(O26))+MAX(0,-N(R26))+MAX(0,-N(U26))+MAX(0,-N(X26))+MAX(0,-N(AA26))+MAX(0,-N(AD26))+MAX(0,-N(AG26))+MAX(0,-N(AJ26))+MAX(0,-N(AM26)))</f>
        <v/>
      </c>
      <c r="AS26">
        <f>IF(A26="",0,IF(OR(N(AP26)&lt;0,AQ26&gt;0),1,0))</f>
        <v/>
      </c>
      <c r="AT26">
        <f>AT25+AS26</f>
        <v/>
      </c>
      <c r="AU26">
        <f>IF(A26="",-1,N(AO26)+ROW()/10000000)</f>
        <v/>
      </c>
    </row>
    <row r="27">
      <c r="A27" s="19" t="inlineStr">
        <is>
          <t>أدوات مكتبية ومستهلكات وضيافة</t>
        </is>
      </c>
      <c r="B27" s="20" t="n">
        <v>42000</v>
      </c>
      <c r="C27" s="21">
        <f>IF(A27="","",N(B27)/12)</f>
        <v/>
      </c>
      <c r="D27" s="22" t="n">
        <v>7000</v>
      </c>
      <c r="E27" s="23">
        <f>IF($A27="","",IFERROR(SUMPRODUCT(('[1]عهد ومصروفات دمياط'!$H$8:$H$5007=$A27)*('[1]عهد ومصروفات دمياط'!$S$8:$S$5007=1)*'[1]عهد ومصروفات دمياط'!$T$8:$T$5007),0))</f>
        <v/>
      </c>
      <c r="F27" s="24">
        <f>IF($A27="","",N(D27)-N(E27))</f>
        <v/>
      </c>
      <c r="G27" s="22" t="n">
        <v>7000</v>
      </c>
      <c r="H27" s="23">
        <f>IF($A27="","",IFERROR(SUMPRODUCT(('[1]عهد ومصروفات دمياط'!$H$8:$H$5007=$A27)*('[1]عهد ومصروفات دمياط'!$S$8:$S$5007=2)*'[1]عهد ومصروفات دمياط'!$T$8:$T$5007),0))</f>
        <v/>
      </c>
      <c r="I27" s="24">
        <f>IF($A27="","",N(G27)-N(H27))</f>
        <v/>
      </c>
      <c r="J27" s="22" t="n">
        <v>3500</v>
      </c>
      <c r="K27" s="23">
        <f>IF($A27="","",IFERROR(SUMPRODUCT(('[1]عهد ومصروفات دمياط'!$H$8:$H$5007=$A27)*('[1]عهد ومصروفات دمياط'!$S$8:$S$5007=3)*'[1]عهد ومصروفات دمياط'!$T$8:$T$5007),0))</f>
        <v/>
      </c>
      <c r="L27" s="24">
        <f>IF($A27="","",N(J27)-N(K27))</f>
        <v/>
      </c>
      <c r="M27" s="22" t="n">
        <v>3500</v>
      </c>
      <c r="N27" s="23">
        <f>IF($A27="","",IFERROR(SUMPRODUCT(('[1]عهد ومصروفات دمياط'!$H$8:$H$5007=$A27)*('[1]عهد ومصروفات دمياط'!$S$8:$S$5007=4)*'[1]عهد ومصروفات دمياط'!$T$8:$T$5007),0))</f>
        <v/>
      </c>
      <c r="O27" s="24">
        <f>IF($A27="","",N(M27)-N(N27))</f>
        <v/>
      </c>
      <c r="P27" s="22" t="n">
        <v>3500</v>
      </c>
      <c r="Q27" s="23">
        <f>IF($A27="","",IFERROR(SUMPRODUCT(('[1]عهد ومصروفات دمياط'!$H$8:$H$5007=$A27)*('[1]عهد ومصروفات دمياط'!$S$8:$S$5007=5)*'[1]عهد ومصروفات دمياط'!$T$8:$T$5007),0))</f>
        <v/>
      </c>
      <c r="R27" s="24">
        <f>IF($A27="","",N(P27)-N(Q27))</f>
        <v/>
      </c>
      <c r="S27" s="22" t="n">
        <v>3500</v>
      </c>
      <c r="T27" s="23">
        <f>IF($A27="","",IFERROR(SUMPRODUCT(('[1]عهد ومصروفات دمياط'!$H$8:$H$5007=$A27)*('[1]عهد ومصروفات دمياط'!$S$8:$S$5007=6)*'[1]عهد ومصروفات دمياط'!$T$8:$T$5007),0))</f>
        <v/>
      </c>
      <c r="U27" s="24">
        <f>IF($A27="","",N(S27)-N(T27))</f>
        <v/>
      </c>
      <c r="V27" s="22" t="n">
        <v>7000</v>
      </c>
      <c r="W27" s="23">
        <f>IF($A27="","",IFERROR(SUMPRODUCT(('[1]عهد ومصروفات دمياط'!$H$8:$H$5007=$A27)*('[1]عهد ومصروفات دمياط'!$S$8:$S$5007=7)*'[1]عهد ومصروفات دمياط'!$T$8:$T$5007),0))</f>
        <v/>
      </c>
      <c r="X27" s="24">
        <f>IF($A27="","",N(V27)-N(W27))</f>
        <v/>
      </c>
      <c r="Y27" s="22" t="n">
        <v>7000</v>
      </c>
      <c r="Z27" s="23">
        <f>IF($A27="","",IFERROR(SUMPRODUCT(('[1]عهد ومصروفات دمياط'!$H$8:$H$5007=$A27)*('[1]عهد ومصروفات دمياط'!$S$8:$S$5007=8)*'[1]عهد ومصروفات دمياط'!$T$8:$T$5007),0))</f>
        <v/>
      </c>
      <c r="AA27" s="24">
        <f>IF($A27="","",N(Y27)-N(Z27))</f>
        <v/>
      </c>
      <c r="AB27" s="22" t="n">
        <v>0</v>
      </c>
      <c r="AC27" s="23">
        <f>IF($A27="","",IFERROR(SUMPRODUCT(('[1]عهد ومصروفات دمياط'!$H$8:$H$5007=$A27)*('[1]عهد ومصروفات دمياط'!$S$8:$S$5007=9)*'[1]عهد ومصروفات دمياط'!$T$8:$T$5007),0))</f>
        <v/>
      </c>
      <c r="AD27" s="24">
        <f>IF($A27="","",N(AB27)-N(AC27))</f>
        <v/>
      </c>
      <c r="AE27" s="22" t="n">
        <v>0</v>
      </c>
      <c r="AF27" s="23">
        <f>IF($A27="","",IFERROR(SUMPRODUCT(('[1]عهد ومصروفات دمياط'!$H$8:$H$5007=$A27)*('[1]عهد ومصروفات دمياط'!$S$8:$S$5007=10)*'[1]عهد ومصروفات دمياط'!$T$8:$T$5007),0))</f>
        <v/>
      </c>
      <c r="AG27" s="24">
        <f>IF($A27="","",N(AE27)-N(AF27))</f>
        <v/>
      </c>
      <c r="AH27" s="22" t="n">
        <v>0</v>
      </c>
      <c r="AI27" s="23">
        <f>IF($A27="","",IFERROR(SUMPRODUCT(('[1]عهد ومصروفات دمياط'!$H$8:$H$5007=$A27)*('[1]عهد ومصروفات دمياط'!$S$8:$S$5007=11)*'[1]عهد ومصروفات دمياط'!$T$8:$T$5007),0))</f>
        <v/>
      </c>
      <c r="AJ27" s="24">
        <f>IF($A27="","",N(AH27)-N(AI27))</f>
        <v/>
      </c>
      <c r="AK27" s="22" t="n">
        <v>0</v>
      </c>
      <c r="AL27" s="23">
        <f>IF($A27="","",IFERROR(SUMPRODUCT(('[1]عهد ومصروفات دمياط'!$H$8:$H$5007=$A27)*('[1]عهد ومصروفات دمياط'!$S$8:$S$5007=12)*'[1]عهد ومصروفات دمياط'!$T$8:$T$5007),0))</f>
        <v/>
      </c>
      <c r="AM27" s="24">
        <f>IF($A27="","",N(AK27)-N(AL27))</f>
        <v/>
      </c>
      <c r="AN27" s="25">
        <f>IF(A27="","",N(D27)+N(G27)+N(J27)+N(M27)+N(P27)+N(S27)+N(V27)+N(Y27)+N(AB27)+N(AE27)+N(AH27)+N(AK27))</f>
        <v/>
      </c>
      <c r="AO27" s="25">
        <f>IF(A27="","",N(E27)+N(H27)+N(K27)+N(N27)+N(Q27)+N(T27)+N(W27)+N(Z27)+N(AC27)+N(AF27)+N(AI27)+N(AL27))</f>
        <v/>
      </c>
      <c r="AP27" s="26">
        <f>IF(A27="","",N(B27)-AO27)</f>
        <v/>
      </c>
      <c r="AQ27">
        <f>IF(A27="",0,(N(F27)&lt;0)+(N(I27)&lt;0)+(N(L27)&lt;0)+(N(O27)&lt;0)+(N(R27)&lt;0)+(N(U27)&lt;0)+(N(X27)&lt;0)+(N(AA27)&lt;0)+(N(AD27)&lt;0)+(N(AG27)&lt;0)+(N(AJ27)&lt;0)+(N(AM27)&lt;0))</f>
        <v/>
      </c>
      <c r="AR27">
        <f>IF(A27="",0,MAX(0,-N(F27))+MAX(0,-N(I27))+MAX(0,-N(L27))+MAX(0,-N(O27))+MAX(0,-N(R27))+MAX(0,-N(U27))+MAX(0,-N(X27))+MAX(0,-N(AA27))+MAX(0,-N(AD27))+MAX(0,-N(AG27))+MAX(0,-N(AJ27))+MAX(0,-N(AM27)))</f>
        <v/>
      </c>
      <c r="AS27">
        <f>IF(A27="",0,IF(OR(N(AP27)&lt;0,AQ27&gt;0),1,0))</f>
        <v/>
      </c>
      <c r="AT27">
        <f>AT26+AS27</f>
        <v/>
      </c>
      <c r="AU27">
        <f>IF(A27="",-1,N(AO27)+ROW()/10000000)</f>
        <v/>
      </c>
    </row>
    <row r="28">
      <c r="A28" s="19" t="inlineStr">
        <is>
          <t>صيانة واجهات وأسوار ومبانى</t>
        </is>
      </c>
      <c r="B28" s="20" t="n">
        <v>18000</v>
      </c>
      <c r="C28" s="21">
        <f>IF(A28="","",N(B28)/12)</f>
        <v/>
      </c>
      <c r="D28" s="22" t="n">
        <v>1500</v>
      </c>
      <c r="E28" s="23">
        <f>IF($A28="","",IFERROR(SUMPRODUCT(('[1]عهد ومصروفات دمياط'!$H$8:$H$5007=$A28)*('[1]عهد ومصروفات دمياط'!$S$8:$S$5007=1)*'[1]عهد ومصروفات دمياط'!$T$8:$T$5007),0))</f>
        <v/>
      </c>
      <c r="F28" s="24">
        <f>IF($A28="","",N(D28)-N(E28))</f>
        <v/>
      </c>
      <c r="G28" s="22" t="n">
        <v>1500</v>
      </c>
      <c r="H28" s="23">
        <f>IF($A28="","",IFERROR(SUMPRODUCT(('[1]عهد ومصروفات دمياط'!$H$8:$H$5007=$A28)*('[1]عهد ومصروفات دمياط'!$S$8:$S$5007=2)*'[1]عهد ومصروفات دمياط'!$T$8:$T$5007),0))</f>
        <v/>
      </c>
      <c r="I28" s="24">
        <f>IF($A28="","",N(G28)-N(H28))</f>
        <v/>
      </c>
      <c r="J28" s="22" t="n">
        <v>1500</v>
      </c>
      <c r="K28" s="23">
        <f>IF($A28="","",IFERROR(SUMPRODUCT(('[1]عهد ومصروفات دمياط'!$H$8:$H$5007=$A28)*('[1]عهد ومصروفات دمياط'!$S$8:$S$5007=3)*'[1]عهد ومصروفات دمياط'!$T$8:$T$5007),0))</f>
        <v/>
      </c>
      <c r="L28" s="24">
        <f>IF($A28="","",N(J28)-N(K28))</f>
        <v/>
      </c>
      <c r="M28" s="22" t="n">
        <v>1500</v>
      </c>
      <c r="N28" s="23">
        <f>IF($A28="","",IFERROR(SUMPRODUCT(('[1]عهد ومصروفات دمياط'!$H$8:$H$5007=$A28)*('[1]عهد ومصروفات دمياط'!$S$8:$S$5007=4)*'[1]عهد ومصروفات دمياط'!$T$8:$T$5007),0))</f>
        <v/>
      </c>
      <c r="O28" s="24">
        <f>IF($A28="","",N(M28)-N(N28))</f>
        <v/>
      </c>
      <c r="P28" s="22" t="n">
        <v>1500</v>
      </c>
      <c r="Q28" s="23">
        <f>IF($A28="","",IFERROR(SUMPRODUCT(('[1]عهد ومصروفات دمياط'!$H$8:$H$5007=$A28)*('[1]عهد ومصروفات دمياط'!$S$8:$S$5007=5)*'[1]عهد ومصروفات دمياط'!$T$8:$T$5007),0))</f>
        <v/>
      </c>
      <c r="R28" s="24">
        <f>IF($A28="","",N(P28)-N(Q28))</f>
        <v/>
      </c>
      <c r="S28" s="22" t="n">
        <v>1500</v>
      </c>
      <c r="T28" s="23">
        <f>IF($A28="","",IFERROR(SUMPRODUCT(('[1]عهد ومصروفات دمياط'!$H$8:$H$5007=$A28)*('[1]عهد ومصروفات دمياط'!$S$8:$S$5007=6)*'[1]عهد ومصروفات دمياط'!$T$8:$T$5007),0))</f>
        <v/>
      </c>
      <c r="U28" s="24">
        <f>IF($A28="","",N(S28)-N(T28))</f>
        <v/>
      </c>
      <c r="V28" s="22" t="n">
        <v>1500</v>
      </c>
      <c r="W28" s="23">
        <f>IF($A28="","",IFERROR(SUMPRODUCT(('[1]عهد ومصروفات دمياط'!$H$8:$H$5007=$A28)*('[1]عهد ومصروفات دمياط'!$S$8:$S$5007=7)*'[1]عهد ومصروفات دمياط'!$T$8:$T$5007),0))</f>
        <v/>
      </c>
      <c r="X28" s="24">
        <f>IF($A28="","",N(V28)-N(W28))</f>
        <v/>
      </c>
      <c r="Y28" s="22" t="n">
        <v>1500</v>
      </c>
      <c r="Z28" s="23">
        <f>IF($A28="","",IFERROR(SUMPRODUCT(('[1]عهد ومصروفات دمياط'!$H$8:$H$5007=$A28)*('[1]عهد ومصروفات دمياط'!$S$8:$S$5007=8)*'[1]عهد ومصروفات دمياط'!$T$8:$T$5007),0))</f>
        <v/>
      </c>
      <c r="AA28" s="24">
        <f>IF($A28="","",N(Y28)-N(Z28))</f>
        <v/>
      </c>
      <c r="AB28" s="22" t="n">
        <v>1500</v>
      </c>
      <c r="AC28" s="23">
        <f>IF($A28="","",IFERROR(SUMPRODUCT(('[1]عهد ومصروفات دمياط'!$H$8:$H$5007=$A28)*('[1]عهد ومصروفات دمياط'!$S$8:$S$5007=9)*'[1]عهد ومصروفات دمياط'!$T$8:$T$5007),0))</f>
        <v/>
      </c>
      <c r="AD28" s="24">
        <f>IF($A28="","",N(AB28)-N(AC28))</f>
        <v/>
      </c>
      <c r="AE28" s="22" t="n">
        <v>1500</v>
      </c>
      <c r="AF28" s="23">
        <f>IF($A28="","",IFERROR(SUMPRODUCT(('[1]عهد ومصروفات دمياط'!$H$8:$H$5007=$A28)*('[1]عهد ومصروفات دمياط'!$S$8:$S$5007=10)*'[1]عهد ومصروفات دمياط'!$T$8:$T$5007),0))</f>
        <v/>
      </c>
      <c r="AG28" s="24">
        <f>IF($A28="","",N(AE28)-N(AF28))</f>
        <v/>
      </c>
      <c r="AH28" s="22" t="n">
        <v>1500</v>
      </c>
      <c r="AI28" s="23">
        <f>IF($A28="","",IFERROR(SUMPRODUCT(('[1]عهد ومصروفات دمياط'!$H$8:$H$5007=$A28)*('[1]عهد ومصروفات دمياط'!$S$8:$S$5007=11)*'[1]عهد ومصروفات دمياط'!$T$8:$T$5007),0))</f>
        <v/>
      </c>
      <c r="AJ28" s="24">
        <f>IF($A28="","",N(AH28)-N(AI28))</f>
        <v/>
      </c>
      <c r="AK28" s="22" t="n">
        <v>1500</v>
      </c>
      <c r="AL28" s="23">
        <f>IF($A28="","",IFERROR(SUMPRODUCT(('[1]عهد ومصروفات دمياط'!$H$8:$H$5007=$A28)*('[1]عهد ومصروفات دمياط'!$S$8:$S$5007=12)*'[1]عهد ومصروفات دمياط'!$T$8:$T$5007),0))</f>
        <v/>
      </c>
      <c r="AM28" s="24">
        <f>IF($A28="","",N(AK28)-N(AL28))</f>
        <v/>
      </c>
      <c r="AN28" s="25">
        <f>IF(A28="","",N(D28)+N(G28)+N(J28)+N(M28)+N(P28)+N(S28)+N(V28)+N(Y28)+N(AB28)+N(AE28)+N(AH28)+N(AK28))</f>
        <v/>
      </c>
      <c r="AO28" s="25">
        <f>IF(A28="","",N(E28)+N(H28)+N(K28)+N(N28)+N(Q28)+N(T28)+N(W28)+N(Z28)+N(AC28)+N(AF28)+N(AI28)+N(AL28))</f>
        <v/>
      </c>
      <c r="AP28" s="26">
        <f>IF(A28="","",N(B28)-AO28)</f>
        <v/>
      </c>
      <c r="AQ28">
        <f>IF(A28="",0,(N(F28)&lt;0)+(N(I28)&lt;0)+(N(L28)&lt;0)+(N(O28)&lt;0)+(N(R28)&lt;0)+(N(U28)&lt;0)+(N(X28)&lt;0)+(N(AA28)&lt;0)+(N(AD28)&lt;0)+(N(AG28)&lt;0)+(N(AJ28)&lt;0)+(N(AM28)&lt;0))</f>
        <v/>
      </c>
      <c r="AR28">
        <f>IF(A28="",0,MAX(0,-N(F28))+MAX(0,-N(I28))+MAX(0,-N(L28))+MAX(0,-N(O28))+MAX(0,-N(R28))+MAX(0,-N(U28))+MAX(0,-N(X28))+MAX(0,-N(AA28))+MAX(0,-N(AD28))+MAX(0,-N(AG28))+MAX(0,-N(AJ28))+MAX(0,-N(AM28)))</f>
        <v/>
      </c>
      <c r="AS28">
        <f>IF(A28="",0,IF(OR(N(AP28)&lt;0,AQ28&gt;0),1,0))</f>
        <v/>
      </c>
      <c r="AT28">
        <f>AT27+AS28</f>
        <v/>
      </c>
      <c r="AU28">
        <f>IF(A28="",-1,N(AO28)+ROW()/10000000)</f>
        <v/>
      </c>
    </row>
    <row r="29">
      <c r="A29" s="19" t="inlineStr">
        <is>
          <t>صيانة أجهزة ومعدات</t>
        </is>
      </c>
      <c r="B29" s="20" t="n">
        <v>18000</v>
      </c>
      <c r="C29" s="21">
        <f>IF(A29="","",N(B29)/12)</f>
        <v/>
      </c>
      <c r="D29" s="22" t="n">
        <v>1500</v>
      </c>
      <c r="E29" s="23">
        <f>IF($A29="","",IFERROR(SUMPRODUCT(('[1]عهد ومصروفات دمياط'!$H$8:$H$5007=$A29)*('[1]عهد ومصروفات دمياط'!$S$8:$S$5007=1)*'[1]عهد ومصروفات دمياط'!$T$8:$T$5007),0))</f>
        <v/>
      </c>
      <c r="F29" s="24">
        <f>IF($A29="","",N(D29)-N(E29))</f>
        <v/>
      </c>
      <c r="G29" s="22" t="n">
        <v>1500</v>
      </c>
      <c r="H29" s="23">
        <f>IF($A29="","",IFERROR(SUMPRODUCT(('[1]عهد ومصروفات دمياط'!$H$8:$H$5007=$A29)*('[1]عهد ومصروفات دمياط'!$S$8:$S$5007=2)*'[1]عهد ومصروفات دمياط'!$T$8:$T$5007),0))</f>
        <v/>
      </c>
      <c r="I29" s="24">
        <f>IF($A29="","",N(G29)-N(H29))</f>
        <v/>
      </c>
      <c r="J29" s="22" t="n">
        <v>1500</v>
      </c>
      <c r="K29" s="23">
        <f>IF($A29="","",IFERROR(SUMPRODUCT(('[1]عهد ومصروفات دمياط'!$H$8:$H$5007=$A29)*('[1]عهد ومصروفات دمياط'!$S$8:$S$5007=3)*'[1]عهد ومصروفات دمياط'!$T$8:$T$5007),0))</f>
        <v/>
      </c>
      <c r="L29" s="24">
        <f>IF($A29="","",N(J29)-N(K29))</f>
        <v/>
      </c>
      <c r="M29" s="22" t="n">
        <v>1500</v>
      </c>
      <c r="N29" s="23">
        <f>IF($A29="","",IFERROR(SUMPRODUCT(('[1]عهد ومصروفات دمياط'!$H$8:$H$5007=$A29)*('[1]عهد ومصروفات دمياط'!$S$8:$S$5007=4)*'[1]عهد ومصروفات دمياط'!$T$8:$T$5007),0))</f>
        <v/>
      </c>
      <c r="O29" s="24">
        <f>IF($A29="","",N(M29)-N(N29))</f>
        <v/>
      </c>
      <c r="P29" s="22" t="n">
        <v>1500</v>
      </c>
      <c r="Q29" s="23">
        <f>IF($A29="","",IFERROR(SUMPRODUCT(('[1]عهد ومصروفات دمياط'!$H$8:$H$5007=$A29)*('[1]عهد ومصروفات دمياط'!$S$8:$S$5007=5)*'[1]عهد ومصروفات دمياط'!$T$8:$T$5007),0))</f>
        <v/>
      </c>
      <c r="R29" s="24">
        <f>IF($A29="","",N(P29)-N(Q29))</f>
        <v/>
      </c>
      <c r="S29" s="22" t="n">
        <v>1500</v>
      </c>
      <c r="T29" s="23">
        <f>IF($A29="","",IFERROR(SUMPRODUCT(('[1]عهد ومصروفات دمياط'!$H$8:$H$5007=$A29)*('[1]عهد ومصروفات دمياط'!$S$8:$S$5007=6)*'[1]عهد ومصروفات دمياط'!$T$8:$T$5007),0))</f>
        <v/>
      </c>
      <c r="U29" s="24">
        <f>IF($A29="","",N(S29)-N(T29))</f>
        <v/>
      </c>
      <c r="V29" s="22" t="n">
        <v>1500</v>
      </c>
      <c r="W29" s="23">
        <f>IF($A29="","",IFERROR(SUMPRODUCT(('[1]عهد ومصروفات دمياط'!$H$8:$H$5007=$A29)*('[1]عهد ومصروفات دمياط'!$S$8:$S$5007=7)*'[1]عهد ومصروفات دمياط'!$T$8:$T$5007),0))</f>
        <v/>
      </c>
      <c r="X29" s="24">
        <f>IF($A29="","",N(V29)-N(W29))</f>
        <v/>
      </c>
      <c r="Y29" s="22" t="n">
        <v>1500</v>
      </c>
      <c r="Z29" s="23">
        <f>IF($A29="","",IFERROR(SUMPRODUCT(('[1]عهد ومصروفات دمياط'!$H$8:$H$5007=$A29)*('[1]عهد ومصروفات دمياط'!$S$8:$S$5007=8)*'[1]عهد ومصروفات دمياط'!$T$8:$T$5007),0))</f>
        <v/>
      </c>
      <c r="AA29" s="24">
        <f>IF($A29="","",N(Y29)-N(Z29))</f>
        <v/>
      </c>
      <c r="AB29" s="22" t="n">
        <v>1500</v>
      </c>
      <c r="AC29" s="23">
        <f>IF($A29="","",IFERROR(SUMPRODUCT(('[1]عهد ومصروفات دمياط'!$H$8:$H$5007=$A29)*('[1]عهد ومصروفات دمياط'!$S$8:$S$5007=9)*'[1]عهد ومصروفات دمياط'!$T$8:$T$5007),0))</f>
        <v/>
      </c>
      <c r="AD29" s="24">
        <f>IF($A29="","",N(AB29)-N(AC29))</f>
        <v/>
      </c>
      <c r="AE29" s="22" t="n">
        <v>1500</v>
      </c>
      <c r="AF29" s="23">
        <f>IF($A29="","",IFERROR(SUMPRODUCT(('[1]عهد ومصروفات دمياط'!$H$8:$H$5007=$A29)*('[1]عهد ومصروفات دمياط'!$S$8:$S$5007=10)*'[1]عهد ومصروفات دمياط'!$T$8:$T$5007),0))</f>
        <v/>
      </c>
      <c r="AG29" s="24">
        <f>IF($A29="","",N(AE29)-N(AF29))</f>
        <v/>
      </c>
      <c r="AH29" s="22" t="n">
        <v>1500</v>
      </c>
      <c r="AI29" s="23">
        <f>IF($A29="","",IFERROR(SUMPRODUCT(('[1]عهد ومصروفات دمياط'!$H$8:$H$5007=$A29)*('[1]عهد ومصروفات دمياط'!$S$8:$S$5007=11)*'[1]عهد ومصروفات دمياط'!$T$8:$T$5007),0))</f>
        <v/>
      </c>
      <c r="AJ29" s="24">
        <f>IF($A29="","",N(AH29)-N(AI29))</f>
        <v/>
      </c>
      <c r="AK29" s="22" t="n">
        <v>1500</v>
      </c>
      <c r="AL29" s="23">
        <f>IF($A29="","",IFERROR(SUMPRODUCT(('[1]عهد ومصروفات دمياط'!$H$8:$H$5007=$A29)*('[1]عهد ومصروفات دمياط'!$S$8:$S$5007=12)*'[1]عهد ومصروفات دمياط'!$T$8:$T$5007),0))</f>
        <v/>
      </c>
      <c r="AM29" s="24">
        <f>IF($A29="","",N(AK29)-N(AL29))</f>
        <v/>
      </c>
      <c r="AN29" s="25">
        <f>IF(A29="","",N(D29)+N(G29)+N(J29)+N(M29)+N(P29)+N(S29)+N(V29)+N(Y29)+N(AB29)+N(AE29)+N(AH29)+N(AK29))</f>
        <v/>
      </c>
      <c r="AO29" s="25">
        <f>IF(A29="","",N(E29)+N(H29)+N(K29)+N(N29)+N(Q29)+N(T29)+N(W29)+N(Z29)+N(AC29)+N(AF29)+N(AI29)+N(AL29))</f>
        <v/>
      </c>
      <c r="AP29" s="26">
        <f>IF(A29="","",N(B29)-AO29)</f>
        <v/>
      </c>
      <c r="AQ29">
        <f>IF(A29="",0,(N(F29)&lt;0)+(N(I29)&lt;0)+(N(L29)&lt;0)+(N(O29)&lt;0)+(N(R29)&lt;0)+(N(U29)&lt;0)+(N(X29)&lt;0)+(N(AA29)&lt;0)+(N(AD29)&lt;0)+(N(AG29)&lt;0)+(N(AJ29)&lt;0)+(N(AM29)&lt;0))</f>
        <v/>
      </c>
      <c r="AR29">
        <f>IF(A29="",0,MAX(0,-N(F29))+MAX(0,-N(I29))+MAX(0,-N(L29))+MAX(0,-N(O29))+MAX(0,-N(R29))+MAX(0,-N(U29))+MAX(0,-N(X29))+MAX(0,-N(AA29))+MAX(0,-N(AD29))+MAX(0,-N(AG29))+MAX(0,-N(AJ29))+MAX(0,-N(AM29)))</f>
        <v/>
      </c>
      <c r="AS29">
        <f>IF(A29="",0,IF(OR(N(AP29)&lt;0,AQ29&gt;0),1,0))</f>
        <v/>
      </c>
      <c r="AT29">
        <f>AT28+AS29</f>
        <v/>
      </c>
      <c r="AU29">
        <f>IF(A29="",-1,N(AO29)+ROW()/10000000)</f>
        <v/>
      </c>
    </row>
    <row r="30">
      <c r="A30" s="19" t="inlineStr">
        <is>
          <t>صيانة ملاعب ولاند سكيب</t>
        </is>
      </c>
      <c r="B30" s="20" t="n">
        <v>18000</v>
      </c>
      <c r="C30" s="21">
        <f>IF(A30="","",N(B30)/12)</f>
        <v/>
      </c>
      <c r="D30" s="22" t="n">
        <v>1500</v>
      </c>
      <c r="E30" s="23">
        <f>IF($A30="","",IFERROR(SUMPRODUCT(('[1]عهد ومصروفات دمياط'!$H$8:$H$5007=$A30)*('[1]عهد ومصروفات دمياط'!$S$8:$S$5007=1)*'[1]عهد ومصروفات دمياط'!$T$8:$T$5007),0))</f>
        <v/>
      </c>
      <c r="F30" s="24">
        <f>IF($A30="","",N(D30)-N(E30))</f>
        <v/>
      </c>
      <c r="G30" s="22" t="n">
        <v>1500</v>
      </c>
      <c r="H30" s="23">
        <f>IF($A30="","",IFERROR(SUMPRODUCT(('[1]عهد ومصروفات دمياط'!$H$8:$H$5007=$A30)*('[1]عهد ومصروفات دمياط'!$S$8:$S$5007=2)*'[1]عهد ومصروفات دمياط'!$T$8:$T$5007),0))</f>
        <v/>
      </c>
      <c r="I30" s="24">
        <f>IF($A30="","",N(G30)-N(H30))</f>
        <v/>
      </c>
      <c r="J30" s="22" t="n">
        <v>1500</v>
      </c>
      <c r="K30" s="23">
        <f>IF($A30="","",IFERROR(SUMPRODUCT(('[1]عهد ومصروفات دمياط'!$H$8:$H$5007=$A30)*('[1]عهد ومصروفات دمياط'!$S$8:$S$5007=3)*'[1]عهد ومصروفات دمياط'!$T$8:$T$5007),0))</f>
        <v/>
      </c>
      <c r="L30" s="24">
        <f>IF($A30="","",N(J30)-N(K30))</f>
        <v/>
      </c>
      <c r="M30" s="22" t="n">
        <v>1500</v>
      </c>
      <c r="N30" s="23">
        <f>IF($A30="","",IFERROR(SUMPRODUCT(('[1]عهد ومصروفات دمياط'!$H$8:$H$5007=$A30)*('[1]عهد ومصروفات دمياط'!$S$8:$S$5007=4)*'[1]عهد ومصروفات دمياط'!$T$8:$T$5007),0))</f>
        <v/>
      </c>
      <c r="O30" s="24">
        <f>IF($A30="","",N(M30)-N(N30))</f>
        <v/>
      </c>
      <c r="P30" s="22" t="n">
        <v>1500</v>
      </c>
      <c r="Q30" s="23">
        <f>IF($A30="","",IFERROR(SUMPRODUCT(('[1]عهد ومصروفات دمياط'!$H$8:$H$5007=$A30)*('[1]عهد ومصروفات دمياط'!$S$8:$S$5007=5)*'[1]عهد ومصروفات دمياط'!$T$8:$T$5007),0))</f>
        <v/>
      </c>
      <c r="R30" s="24">
        <f>IF($A30="","",N(P30)-N(Q30))</f>
        <v/>
      </c>
      <c r="S30" s="22" t="n">
        <v>1500</v>
      </c>
      <c r="T30" s="23">
        <f>IF($A30="","",IFERROR(SUMPRODUCT(('[1]عهد ومصروفات دمياط'!$H$8:$H$5007=$A30)*('[1]عهد ومصروفات دمياط'!$S$8:$S$5007=6)*'[1]عهد ومصروفات دمياط'!$T$8:$T$5007),0))</f>
        <v/>
      </c>
      <c r="U30" s="24">
        <f>IF($A30="","",N(S30)-N(T30))</f>
        <v/>
      </c>
      <c r="V30" s="22" t="n">
        <v>1500</v>
      </c>
      <c r="W30" s="23">
        <f>IF($A30="","",IFERROR(SUMPRODUCT(('[1]عهد ومصروفات دمياط'!$H$8:$H$5007=$A30)*('[1]عهد ومصروفات دمياط'!$S$8:$S$5007=7)*'[1]عهد ومصروفات دمياط'!$T$8:$T$5007),0))</f>
        <v/>
      </c>
      <c r="X30" s="24">
        <f>IF($A30="","",N(V30)-N(W30))</f>
        <v/>
      </c>
      <c r="Y30" s="22" t="n">
        <v>1500</v>
      </c>
      <c r="Z30" s="23">
        <f>IF($A30="","",IFERROR(SUMPRODUCT(('[1]عهد ومصروفات دمياط'!$H$8:$H$5007=$A30)*('[1]عهد ومصروفات دمياط'!$S$8:$S$5007=8)*'[1]عهد ومصروفات دمياط'!$T$8:$T$5007),0))</f>
        <v/>
      </c>
      <c r="AA30" s="24">
        <f>IF($A30="","",N(Y30)-N(Z30))</f>
        <v/>
      </c>
      <c r="AB30" s="22" t="n">
        <v>1500</v>
      </c>
      <c r="AC30" s="23">
        <f>IF($A30="","",IFERROR(SUMPRODUCT(('[1]عهد ومصروفات دمياط'!$H$8:$H$5007=$A30)*('[1]عهد ومصروفات دمياط'!$S$8:$S$5007=9)*'[1]عهد ومصروفات دمياط'!$T$8:$T$5007),0))</f>
        <v/>
      </c>
      <c r="AD30" s="24">
        <f>IF($A30="","",N(AB30)-N(AC30))</f>
        <v/>
      </c>
      <c r="AE30" s="22" t="n">
        <v>1500</v>
      </c>
      <c r="AF30" s="23">
        <f>IF($A30="","",IFERROR(SUMPRODUCT(('[1]عهد ومصروفات دمياط'!$H$8:$H$5007=$A30)*('[1]عهد ومصروفات دمياط'!$S$8:$S$5007=10)*'[1]عهد ومصروفات دمياط'!$T$8:$T$5007),0))</f>
        <v/>
      </c>
      <c r="AG30" s="24">
        <f>IF($A30="","",N(AE30)-N(AF30))</f>
        <v/>
      </c>
      <c r="AH30" s="22" t="n">
        <v>1500</v>
      </c>
      <c r="AI30" s="23">
        <f>IF($A30="","",IFERROR(SUMPRODUCT(('[1]عهد ومصروفات دمياط'!$H$8:$H$5007=$A30)*('[1]عهد ومصروفات دمياط'!$S$8:$S$5007=11)*'[1]عهد ومصروفات دمياط'!$T$8:$T$5007),0))</f>
        <v/>
      </c>
      <c r="AJ30" s="24">
        <f>IF($A30="","",N(AH30)-N(AI30))</f>
        <v/>
      </c>
      <c r="AK30" s="22" t="n">
        <v>1500</v>
      </c>
      <c r="AL30" s="23">
        <f>IF($A30="","",IFERROR(SUMPRODUCT(('[1]عهد ومصروفات دمياط'!$H$8:$H$5007=$A30)*('[1]عهد ومصروفات دمياط'!$S$8:$S$5007=12)*'[1]عهد ومصروفات دمياط'!$T$8:$T$5007),0))</f>
        <v/>
      </c>
      <c r="AM30" s="24">
        <f>IF($A30="","",N(AK30)-N(AL30))</f>
        <v/>
      </c>
      <c r="AN30" s="25">
        <f>IF(A30="","",N(D30)+N(G30)+N(J30)+N(M30)+N(P30)+N(S30)+N(V30)+N(Y30)+N(AB30)+N(AE30)+N(AH30)+N(AK30))</f>
        <v/>
      </c>
      <c r="AO30" s="25">
        <f>IF(A30="","",N(E30)+N(H30)+N(K30)+N(N30)+N(Q30)+N(T30)+N(W30)+N(Z30)+N(AC30)+N(AF30)+N(AI30)+N(AL30))</f>
        <v/>
      </c>
      <c r="AP30" s="26">
        <f>IF(A30="","",N(B30)-AO30)</f>
        <v/>
      </c>
      <c r="AQ30">
        <f>IF(A30="",0,(N(F30)&lt;0)+(N(I30)&lt;0)+(N(L30)&lt;0)+(N(O30)&lt;0)+(N(R30)&lt;0)+(N(U30)&lt;0)+(N(X30)&lt;0)+(N(AA30)&lt;0)+(N(AD30)&lt;0)+(N(AG30)&lt;0)+(N(AJ30)&lt;0)+(N(AM30)&lt;0))</f>
        <v/>
      </c>
      <c r="AR30">
        <f>IF(A30="",0,MAX(0,-N(F30))+MAX(0,-N(I30))+MAX(0,-N(L30))+MAX(0,-N(O30))+MAX(0,-N(R30))+MAX(0,-N(U30))+MAX(0,-N(X30))+MAX(0,-N(AA30))+MAX(0,-N(AD30))+MAX(0,-N(AG30))+MAX(0,-N(AJ30))+MAX(0,-N(AM30)))</f>
        <v/>
      </c>
      <c r="AS30">
        <f>IF(A30="",0,IF(OR(N(AP30)&lt;0,AQ30&gt;0),1,0))</f>
        <v/>
      </c>
      <c r="AT30">
        <f>AT29+AS30</f>
        <v/>
      </c>
      <c r="AU30">
        <f>IF(A30="",-1,N(AO30)+ROW()/10000000)</f>
        <v/>
      </c>
    </row>
    <row r="31">
      <c r="A31" s="19" t="inlineStr">
        <is>
          <t>تكاليف متنوعة وطوارئ</t>
        </is>
      </c>
      <c r="B31" s="20" t="n">
        <v>18000</v>
      </c>
      <c r="C31" s="21">
        <f>IF(A31="","",N(B31)/12)</f>
        <v/>
      </c>
      <c r="D31" s="22" t="n">
        <v>0</v>
      </c>
      <c r="E31" s="23">
        <f>IF($A31="","",IFERROR(SUMPRODUCT(('[1]عهد ومصروفات دمياط'!$H$8:$H$5007=$A31)*('[1]عهد ومصروفات دمياط'!$S$8:$S$5007=1)*'[1]عهد ومصروفات دمياط'!$T$8:$T$5007),0))</f>
        <v/>
      </c>
      <c r="F31" s="24">
        <f>IF($A31="","",N(D31)-N(E31))</f>
        <v/>
      </c>
      <c r="G31" s="22" t="n">
        <v>0</v>
      </c>
      <c r="H31" s="23">
        <f>IF($A31="","",IFERROR(SUMPRODUCT(('[1]عهد ومصروفات دمياط'!$H$8:$H$5007=$A31)*('[1]عهد ومصروفات دمياط'!$S$8:$S$5007=2)*'[1]عهد ومصروفات دمياط'!$T$8:$T$5007),0))</f>
        <v/>
      </c>
      <c r="I31" s="24">
        <f>IF($A31="","",N(G31)-N(H31))</f>
        <v/>
      </c>
      <c r="J31" s="22" t="n">
        <v>0</v>
      </c>
      <c r="K31" s="23">
        <f>IF($A31="","",IFERROR(SUMPRODUCT(('[1]عهد ومصروفات دمياط'!$H$8:$H$5007=$A31)*('[1]عهد ومصروفات دمياط'!$S$8:$S$5007=3)*'[1]عهد ومصروفات دمياط'!$T$8:$T$5007),0))</f>
        <v/>
      </c>
      <c r="L31" s="24">
        <f>IF($A31="","",N(J31)-N(K31))</f>
        <v/>
      </c>
      <c r="M31" s="22" t="n">
        <v>0</v>
      </c>
      <c r="N31" s="23">
        <f>IF($A31="","",IFERROR(SUMPRODUCT(('[1]عهد ومصروفات دمياط'!$H$8:$H$5007=$A31)*('[1]عهد ومصروفات دمياط'!$S$8:$S$5007=4)*'[1]عهد ومصروفات دمياط'!$T$8:$T$5007),0))</f>
        <v/>
      </c>
      <c r="O31" s="24">
        <f>IF($A31="","",N(M31)-N(N31))</f>
        <v/>
      </c>
      <c r="P31" s="22" t="n">
        <v>0</v>
      </c>
      <c r="Q31" s="23">
        <f>IF($A31="","",IFERROR(SUMPRODUCT(('[1]عهد ومصروفات دمياط'!$H$8:$H$5007=$A31)*('[1]عهد ومصروفات دمياط'!$S$8:$S$5007=5)*'[1]عهد ومصروفات دمياط'!$T$8:$T$5007),0))</f>
        <v/>
      </c>
      <c r="R31" s="24">
        <f>IF($A31="","",N(P31)-N(Q31))</f>
        <v/>
      </c>
      <c r="S31" s="22" t="n">
        <v>0</v>
      </c>
      <c r="T31" s="23">
        <f>IF($A31="","",IFERROR(SUMPRODUCT(('[1]عهد ومصروفات دمياط'!$H$8:$H$5007=$A31)*('[1]عهد ومصروفات دمياط'!$S$8:$S$5007=6)*'[1]عهد ومصروفات دمياط'!$T$8:$T$5007),0))</f>
        <v/>
      </c>
      <c r="U31" s="24">
        <f>IF($A31="","",N(S31)-N(T31))</f>
        <v/>
      </c>
      <c r="V31" s="22" t="n">
        <v>0</v>
      </c>
      <c r="W31" s="23">
        <f>IF($A31="","",IFERROR(SUMPRODUCT(('[1]عهد ومصروفات دمياط'!$H$8:$H$5007=$A31)*('[1]عهد ومصروفات دمياط'!$S$8:$S$5007=7)*'[1]عهد ومصروفات دمياط'!$T$8:$T$5007),0))</f>
        <v/>
      </c>
      <c r="X31" s="24">
        <f>IF($A31="","",N(V31)-N(W31))</f>
        <v/>
      </c>
      <c r="Y31" s="22" t="n">
        <v>0</v>
      </c>
      <c r="Z31" s="23">
        <f>IF($A31="","",IFERROR(SUMPRODUCT(('[1]عهد ومصروفات دمياط'!$H$8:$H$5007=$A31)*('[1]عهد ومصروفات دمياط'!$S$8:$S$5007=8)*'[1]عهد ومصروفات دمياط'!$T$8:$T$5007),0))</f>
        <v/>
      </c>
      <c r="AA31" s="24">
        <f>IF($A31="","",N(Y31)-N(Z31))</f>
        <v/>
      </c>
      <c r="AB31" s="22" t="n">
        <v>0</v>
      </c>
      <c r="AC31" s="23">
        <f>IF($A31="","",IFERROR(SUMPRODUCT(('[1]عهد ومصروفات دمياط'!$H$8:$H$5007=$A31)*('[1]عهد ومصروفات دمياط'!$S$8:$S$5007=9)*'[1]عهد ومصروفات دمياط'!$T$8:$T$5007),0))</f>
        <v/>
      </c>
      <c r="AD31" s="24">
        <f>IF($A31="","",N(AB31)-N(AC31))</f>
        <v/>
      </c>
      <c r="AE31" s="22" t="n">
        <v>0</v>
      </c>
      <c r="AF31" s="23">
        <f>IF($A31="","",IFERROR(SUMPRODUCT(('[1]عهد ومصروفات دمياط'!$H$8:$H$5007=$A31)*('[1]عهد ومصروفات دمياط'!$S$8:$S$5007=10)*'[1]عهد ومصروفات دمياط'!$T$8:$T$5007),0))</f>
        <v/>
      </c>
      <c r="AG31" s="24">
        <f>IF($A31="","",N(AE31)-N(AF31))</f>
        <v/>
      </c>
      <c r="AH31" s="22" t="n">
        <v>0</v>
      </c>
      <c r="AI31" s="23">
        <f>IF($A31="","",IFERROR(SUMPRODUCT(('[1]عهد ومصروفات دمياط'!$H$8:$H$5007=$A31)*('[1]عهد ومصروفات دمياط'!$S$8:$S$5007=11)*'[1]عهد ومصروفات دمياط'!$T$8:$T$5007),0))</f>
        <v/>
      </c>
      <c r="AJ31" s="24">
        <f>IF($A31="","",N(AH31)-N(AI31))</f>
        <v/>
      </c>
      <c r="AK31" s="22" t="n">
        <v>0</v>
      </c>
      <c r="AL31" s="23">
        <f>IF($A31="","",IFERROR(SUMPRODUCT(('[1]عهد ومصروفات دمياط'!$H$8:$H$5007=$A31)*('[1]عهد ومصروفات دمياط'!$S$8:$S$5007=12)*'[1]عهد ومصروفات دمياط'!$T$8:$T$5007),0))</f>
        <v/>
      </c>
      <c r="AM31" s="24">
        <f>IF($A31="","",N(AK31)-N(AL31))</f>
        <v/>
      </c>
      <c r="AN31" s="25">
        <f>IF(A31="","",N(D31)+N(G31)+N(J31)+N(M31)+N(P31)+N(S31)+N(V31)+N(Y31)+N(AB31)+N(AE31)+N(AH31)+N(AK31))</f>
        <v/>
      </c>
      <c r="AO31" s="25">
        <f>IF(A31="","",N(E31)+N(H31)+N(K31)+N(N31)+N(Q31)+N(T31)+N(W31)+N(Z31)+N(AC31)+N(AF31)+N(AI31)+N(AL31))</f>
        <v/>
      </c>
      <c r="AP31" s="26">
        <f>IF(A31="","",N(B31)-AO31)</f>
        <v/>
      </c>
      <c r="AQ31">
        <f>IF(A31="",0,(N(F31)&lt;0)+(N(I31)&lt;0)+(N(L31)&lt;0)+(N(O31)&lt;0)+(N(R31)&lt;0)+(N(U31)&lt;0)+(N(X31)&lt;0)+(N(AA31)&lt;0)+(N(AD31)&lt;0)+(N(AG31)&lt;0)+(N(AJ31)&lt;0)+(N(AM31)&lt;0))</f>
        <v/>
      </c>
      <c r="AR31">
        <f>IF(A31="",0,MAX(0,-N(F31))+MAX(0,-N(I31))+MAX(0,-N(L31))+MAX(0,-N(O31))+MAX(0,-N(R31))+MAX(0,-N(U31))+MAX(0,-N(X31))+MAX(0,-N(AA31))+MAX(0,-N(AD31))+MAX(0,-N(AG31))+MAX(0,-N(AJ31))+MAX(0,-N(AM31)))</f>
        <v/>
      </c>
      <c r="AS31">
        <f>IF(A31="",0,IF(OR(N(AP31)&lt;0,AQ31&gt;0),1,0))</f>
        <v/>
      </c>
      <c r="AT31">
        <f>AT30+AS31</f>
        <v/>
      </c>
      <c r="AU31">
        <f>IF(A31="",-1,N(AO31)+ROW()/10000000)</f>
        <v/>
      </c>
    </row>
    <row r="32">
      <c r="A32" s="19" t="inlineStr">
        <is>
          <t>مصاريف امتحان الدبلوم</t>
        </is>
      </c>
      <c r="B32" s="20" t="n">
        <v>20000</v>
      </c>
      <c r="C32" s="21">
        <f>IF(A32="","",N(B32)/12)</f>
        <v/>
      </c>
      <c r="D32" s="22" t="n">
        <v>0</v>
      </c>
      <c r="E32" s="23">
        <f>IF($A32="","",IFERROR(SUMPRODUCT(('[1]عهد ومصروفات دمياط'!$H$8:$H$5007=$A32)*('[1]عهد ومصروفات دمياط'!$S$8:$S$5007=1)*'[1]عهد ومصروفات دمياط'!$T$8:$T$5007),0))</f>
        <v/>
      </c>
      <c r="F32" s="24">
        <f>IF($A32="","",N(D32)-N(E32))</f>
        <v/>
      </c>
      <c r="G32" s="22" t="n">
        <v>0</v>
      </c>
      <c r="H32" s="23">
        <f>IF($A32="","",IFERROR(SUMPRODUCT(('[1]عهد ومصروفات دمياط'!$H$8:$H$5007=$A32)*('[1]عهد ومصروفات دمياط'!$S$8:$S$5007=2)*'[1]عهد ومصروفات دمياط'!$T$8:$T$5007),0))</f>
        <v/>
      </c>
      <c r="I32" s="24">
        <f>IF($A32="","",N(G32)-N(H32))</f>
        <v/>
      </c>
      <c r="J32" s="22" t="n">
        <v>0</v>
      </c>
      <c r="K32" s="23">
        <f>IF($A32="","",IFERROR(SUMPRODUCT(('[1]عهد ومصروفات دمياط'!$H$8:$H$5007=$A32)*('[1]عهد ومصروفات دمياط'!$S$8:$S$5007=3)*'[1]عهد ومصروفات دمياط'!$T$8:$T$5007),0))</f>
        <v/>
      </c>
      <c r="L32" s="24">
        <f>IF($A32="","",N(J32)-N(K32))</f>
        <v/>
      </c>
      <c r="M32" s="22" t="n">
        <v>0</v>
      </c>
      <c r="N32" s="23">
        <f>IF($A32="","",IFERROR(SUMPRODUCT(('[1]عهد ومصروفات دمياط'!$H$8:$H$5007=$A32)*('[1]عهد ومصروفات دمياط'!$S$8:$S$5007=4)*'[1]عهد ومصروفات دمياط'!$T$8:$T$5007),0))</f>
        <v/>
      </c>
      <c r="O32" s="24">
        <f>IF($A32="","",N(M32)-N(N32))</f>
        <v/>
      </c>
      <c r="P32" s="22" t="n">
        <v>0</v>
      </c>
      <c r="Q32" s="23">
        <f>IF($A32="","",IFERROR(SUMPRODUCT(('[1]عهد ومصروفات دمياط'!$H$8:$H$5007=$A32)*('[1]عهد ومصروفات دمياط'!$S$8:$S$5007=5)*'[1]عهد ومصروفات دمياط'!$T$8:$T$5007),0))</f>
        <v/>
      </c>
      <c r="R32" s="24">
        <f>IF($A32="","",N(P32)-N(Q32))</f>
        <v/>
      </c>
      <c r="S32" s="22" t="n">
        <v>0</v>
      </c>
      <c r="T32" s="23">
        <f>IF($A32="","",IFERROR(SUMPRODUCT(('[1]عهد ومصروفات دمياط'!$H$8:$H$5007=$A32)*('[1]عهد ومصروفات دمياط'!$S$8:$S$5007=6)*'[1]عهد ومصروفات دمياط'!$T$8:$T$5007),0))</f>
        <v/>
      </c>
      <c r="U32" s="24">
        <f>IF($A32="","",N(S32)-N(T32))</f>
        <v/>
      </c>
      <c r="V32" s="22" t="n">
        <v>0</v>
      </c>
      <c r="W32" s="23">
        <f>IF($A32="","",IFERROR(SUMPRODUCT(('[1]عهد ومصروفات دمياط'!$H$8:$H$5007=$A32)*('[1]عهد ومصروفات دمياط'!$S$8:$S$5007=7)*'[1]عهد ومصروفات دمياط'!$T$8:$T$5007),0))</f>
        <v/>
      </c>
      <c r="X32" s="24">
        <f>IF($A32="","",N(V32)-N(W32))</f>
        <v/>
      </c>
      <c r="Y32" s="22" t="n">
        <v>0</v>
      </c>
      <c r="Z32" s="23">
        <f>IF($A32="","",IFERROR(SUMPRODUCT(('[1]عهد ومصروفات دمياط'!$H$8:$H$5007=$A32)*('[1]عهد ومصروفات دمياط'!$S$8:$S$5007=8)*'[1]عهد ومصروفات دمياط'!$T$8:$T$5007),0))</f>
        <v/>
      </c>
      <c r="AA32" s="24">
        <f>IF($A32="","",N(Y32)-N(Z32))</f>
        <v/>
      </c>
      <c r="AB32" s="22" t="n">
        <v>20000</v>
      </c>
      <c r="AC32" s="23">
        <f>IF($A32="","",IFERROR(SUMPRODUCT(('[1]عهد ومصروفات دمياط'!$H$8:$H$5007=$A32)*('[1]عهد ومصروفات دمياط'!$S$8:$S$5007=9)*'[1]عهد ومصروفات دمياط'!$T$8:$T$5007),0))</f>
        <v/>
      </c>
      <c r="AD32" s="24">
        <f>IF($A32="","",N(AB32)-N(AC32))</f>
        <v/>
      </c>
      <c r="AE32" s="22" t="n">
        <v>0</v>
      </c>
      <c r="AF32" s="23">
        <f>IF($A32="","",IFERROR(SUMPRODUCT(('[1]عهد ومصروفات دمياط'!$H$8:$H$5007=$A32)*('[1]عهد ومصروفات دمياط'!$S$8:$S$5007=10)*'[1]عهد ومصروفات دمياط'!$T$8:$T$5007),0))</f>
        <v/>
      </c>
      <c r="AG32" s="24">
        <f>IF($A32="","",N(AE32)-N(AF32))</f>
        <v/>
      </c>
      <c r="AH32" s="22" t="n">
        <v>0</v>
      </c>
      <c r="AI32" s="23">
        <f>IF($A32="","",IFERROR(SUMPRODUCT(('[1]عهد ومصروفات دمياط'!$H$8:$H$5007=$A32)*('[1]عهد ومصروفات دمياط'!$S$8:$S$5007=11)*'[1]عهد ومصروفات دمياط'!$T$8:$T$5007),0))</f>
        <v/>
      </c>
      <c r="AJ32" s="24">
        <f>IF($A32="","",N(AH32)-N(AI32))</f>
        <v/>
      </c>
      <c r="AK32" s="22" t="n">
        <v>0</v>
      </c>
      <c r="AL32" s="23">
        <f>IF($A32="","",IFERROR(SUMPRODUCT(('[1]عهد ومصروفات دمياط'!$H$8:$H$5007=$A32)*('[1]عهد ومصروفات دمياط'!$S$8:$S$5007=12)*'[1]عهد ومصروفات دمياط'!$T$8:$T$5007),0))</f>
        <v/>
      </c>
      <c r="AM32" s="24">
        <f>IF($A32="","",N(AK32)-N(AL32))</f>
        <v/>
      </c>
      <c r="AN32" s="25">
        <f>IF(A32="","",N(D32)+N(G32)+N(J32)+N(M32)+N(P32)+N(S32)+N(V32)+N(Y32)+N(AB32)+N(AE32)+N(AH32)+N(AK32))</f>
        <v/>
      </c>
      <c r="AO32" s="25">
        <f>IF(A32="","",N(E32)+N(H32)+N(K32)+N(N32)+N(Q32)+N(T32)+N(W32)+N(Z32)+N(AC32)+N(AF32)+N(AI32)+N(AL32))</f>
        <v/>
      </c>
      <c r="AP32" s="26">
        <f>IF(A32="","",N(B32)-AO32)</f>
        <v/>
      </c>
      <c r="AQ32">
        <f>IF(A32="",0,(N(F32)&lt;0)+(N(I32)&lt;0)+(N(L32)&lt;0)+(N(O32)&lt;0)+(N(R32)&lt;0)+(N(U32)&lt;0)+(N(X32)&lt;0)+(N(AA32)&lt;0)+(N(AD32)&lt;0)+(N(AG32)&lt;0)+(N(AJ32)&lt;0)+(N(AM32)&lt;0))</f>
        <v/>
      </c>
      <c r="AR32">
        <f>IF(A32="",0,MAX(0,-N(F32))+MAX(0,-N(I32))+MAX(0,-N(L32))+MAX(0,-N(O32))+MAX(0,-N(R32))+MAX(0,-N(U32))+MAX(0,-N(X32))+MAX(0,-N(AA32))+MAX(0,-N(AD32))+MAX(0,-N(AG32))+MAX(0,-N(AJ32))+MAX(0,-N(AM32)))</f>
        <v/>
      </c>
      <c r="AS32">
        <f>IF(A32="",0,IF(OR(N(AP32)&lt;0,AQ32&gt;0),1,0))</f>
        <v/>
      </c>
      <c r="AT32">
        <f>AT31+AS32</f>
        <v/>
      </c>
      <c r="AU32">
        <f>IF(A32="",-1,N(AO32)+ROW()/10000000)</f>
        <v/>
      </c>
    </row>
    <row r="33">
      <c r="A33" s="19" t="inlineStr">
        <is>
          <t>مصاريف تسويق مستمر</t>
        </is>
      </c>
      <c r="B33" s="20" t="n">
        <v>24000</v>
      </c>
      <c r="C33" s="21">
        <f>IF(A33="","",N(B33)/12)</f>
        <v/>
      </c>
      <c r="D33" s="22" t="n">
        <v>0</v>
      </c>
      <c r="E33" s="23">
        <f>IF($A33="","",IFERROR(SUMPRODUCT(('[1]عهد ومصروفات دمياط'!$H$8:$H$5007=$A33)*('[1]عهد ومصروفات دمياط'!$S$8:$S$5007=1)*'[1]عهد ومصروفات دمياط'!$T$8:$T$5007),0))</f>
        <v/>
      </c>
      <c r="F33" s="24">
        <f>IF($A33="","",N(D33)-N(E33))</f>
        <v/>
      </c>
      <c r="G33" s="22" t="n">
        <v>0</v>
      </c>
      <c r="H33" s="23">
        <f>IF($A33="","",IFERROR(SUMPRODUCT(('[1]عهد ومصروفات دمياط'!$H$8:$H$5007=$A33)*('[1]عهد ومصروفات دمياط'!$S$8:$S$5007=2)*'[1]عهد ومصروفات دمياط'!$T$8:$T$5007),0))</f>
        <v/>
      </c>
      <c r="I33" s="24">
        <f>IF($A33="","",N(G33)-N(H33))</f>
        <v/>
      </c>
      <c r="J33" s="22" t="n">
        <v>0</v>
      </c>
      <c r="K33" s="23">
        <f>IF($A33="","",IFERROR(SUMPRODUCT(('[1]عهد ومصروفات دمياط'!$H$8:$H$5007=$A33)*('[1]عهد ومصروفات دمياط'!$S$8:$S$5007=3)*'[1]عهد ومصروفات دمياط'!$T$8:$T$5007),0))</f>
        <v/>
      </c>
      <c r="L33" s="24">
        <f>IF($A33="","",N(J33)-N(K33))</f>
        <v/>
      </c>
      <c r="M33" s="22" t="n">
        <v>0</v>
      </c>
      <c r="N33" s="23">
        <f>IF($A33="","",IFERROR(SUMPRODUCT(('[1]عهد ومصروفات دمياط'!$H$8:$H$5007=$A33)*('[1]عهد ومصروفات دمياط'!$S$8:$S$5007=4)*'[1]عهد ومصروفات دمياط'!$T$8:$T$5007),0))</f>
        <v/>
      </c>
      <c r="O33" s="24">
        <f>IF($A33="","",N(M33)-N(N33))</f>
        <v/>
      </c>
      <c r="P33" s="22" t="n">
        <v>0</v>
      </c>
      <c r="Q33" s="23">
        <f>IF($A33="","",IFERROR(SUMPRODUCT(('[1]عهد ومصروفات دمياط'!$H$8:$H$5007=$A33)*('[1]عهد ومصروفات دمياط'!$S$8:$S$5007=5)*'[1]عهد ومصروفات دمياط'!$T$8:$T$5007),0))</f>
        <v/>
      </c>
      <c r="R33" s="24">
        <f>IF($A33="","",N(P33)-N(Q33))</f>
        <v/>
      </c>
      <c r="S33" s="22" t="n">
        <v>0</v>
      </c>
      <c r="T33" s="23">
        <f>IF($A33="","",IFERROR(SUMPRODUCT(('[1]عهد ومصروفات دمياط'!$H$8:$H$5007=$A33)*('[1]عهد ومصروفات دمياط'!$S$8:$S$5007=6)*'[1]عهد ومصروفات دمياط'!$T$8:$T$5007),0))</f>
        <v/>
      </c>
      <c r="U33" s="24">
        <f>IF($A33="","",N(S33)-N(T33))</f>
        <v/>
      </c>
      <c r="V33" s="22" t="n">
        <v>0</v>
      </c>
      <c r="W33" s="23">
        <f>IF($A33="","",IFERROR(SUMPRODUCT(('[1]عهد ومصروفات دمياط'!$H$8:$H$5007=$A33)*('[1]عهد ومصروفات دمياط'!$S$8:$S$5007=7)*'[1]عهد ومصروفات دمياط'!$T$8:$T$5007),0))</f>
        <v/>
      </c>
      <c r="X33" s="24">
        <f>IF($A33="","",N(V33)-N(W33))</f>
        <v/>
      </c>
      <c r="Y33" s="22" t="n">
        <v>0</v>
      </c>
      <c r="Z33" s="23">
        <f>IF($A33="","",IFERROR(SUMPRODUCT(('[1]عهد ومصروفات دمياط'!$H$8:$H$5007=$A33)*('[1]عهد ومصروفات دمياط'!$S$8:$S$5007=8)*'[1]عهد ومصروفات دمياط'!$T$8:$T$5007),0))</f>
        <v/>
      </c>
      <c r="AA33" s="24">
        <f>IF($A33="","",N(Y33)-N(Z33))</f>
        <v/>
      </c>
      <c r="AB33" s="22" t="n">
        <v>0</v>
      </c>
      <c r="AC33" s="23">
        <f>IF($A33="","",IFERROR(SUMPRODUCT(('[1]عهد ومصروفات دمياط'!$H$8:$H$5007=$A33)*('[1]عهد ومصروفات دمياط'!$S$8:$S$5007=9)*'[1]عهد ومصروفات دمياط'!$T$8:$T$5007),0))</f>
        <v/>
      </c>
      <c r="AD33" s="24">
        <f>IF($A33="","",N(AB33)-N(AC33))</f>
        <v/>
      </c>
      <c r="AE33" s="22" t="n">
        <v>0</v>
      </c>
      <c r="AF33" s="23">
        <f>IF($A33="","",IFERROR(SUMPRODUCT(('[1]عهد ومصروفات دمياط'!$H$8:$H$5007=$A33)*('[1]عهد ومصروفات دمياط'!$S$8:$S$5007=10)*'[1]عهد ومصروفات دمياط'!$T$8:$T$5007),0))</f>
        <v/>
      </c>
      <c r="AG33" s="24">
        <f>IF($A33="","",N(AE33)-N(AF33))</f>
        <v/>
      </c>
      <c r="AH33" s="22" t="n">
        <v>0</v>
      </c>
      <c r="AI33" s="23">
        <f>IF($A33="","",IFERROR(SUMPRODUCT(('[1]عهد ومصروفات دمياط'!$H$8:$H$5007=$A33)*('[1]عهد ومصروفات دمياط'!$S$8:$S$5007=11)*'[1]عهد ومصروفات دمياط'!$T$8:$T$5007),0))</f>
        <v/>
      </c>
      <c r="AJ33" s="24">
        <f>IF($A33="","",N(AH33)-N(AI33))</f>
        <v/>
      </c>
      <c r="AK33" s="22" t="n">
        <v>0</v>
      </c>
      <c r="AL33" s="23">
        <f>IF($A33="","",IFERROR(SUMPRODUCT(('[1]عهد ومصروفات دمياط'!$H$8:$H$5007=$A33)*('[1]عهد ومصروفات دمياط'!$S$8:$S$5007=12)*'[1]عهد ومصروفات دمياط'!$T$8:$T$5007),0))</f>
        <v/>
      </c>
      <c r="AM33" s="24">
        <f>IF($A33="","",N(AK33)-N(AL33))</f>
        <v/>
      </c>
      <c r="AN33" s="25">
        <f>IF(A33="","",N(D33)+N(G33)+N(J33)+N(M33)+N(P33)+N(S33)+N(V33)+N(Y33)+N(AB33)+N(AE33)+N(AH33)+N(AK33))</f>
        <v/>
      </c>
      <c r="AO33" s="25">
        <f>IF(A33="","",N(E33)+N(H33)+N(K33)+N(N33)+N(Q33)+N(T33)+N(W33)+N(Z33)+N(AC33)+N(AF33)+N(AI33)+N(AL33))</f>
        <v/>
      </c>
      <c r="AP33" s="26">
        <f>IF(A33="","",N(B33)-AO33)</f>
        <v/>
      </c>
      <c r="AQ33">
        <f>IF(A33="",0,(N(F33)&lt;0)+(N(I33)&lt;0)+(N(L33)&lt;0)+(N(O33)&lt;0)+(N(R33)&lt;0)+(N(U33)&lt;0)+(N(X33)&lt;0)+(N(AA33)&lt;0)+(N(AD33)&lt;0)+(N(AG33)&lt;0)+(N(AJ33)&lt;0)+(N(AM33)&lt;0))</f>
        <v/>
      </c>
      <c r="AR33">
        <f>IF(A33="",0,MAX(0,-N(F33))+MAX(0,-N(I33))+MAX(0,-N(L33))+MAX(0,-N(O33))+MAX(0,-N(R33))+MAX(0,-N(U33))+MAX(0,-N(X33))+MAX(0,-N(AA33))+MAX(0,-N(AD33))+MAX(0,-N(AG33))+MAX(0,-N(AJ33))+MAX(0,-N(AM33)))</f>
        <v/>
      </c>
      <c r="AS33">
        <f>IF(A33="",0,IF(OR(N(AP33)&lt;0,AQ33&gt;0),1,0))</f>
        <v/>
      </c>
      <c r="AT33">
        <f>AT32+AS33</f>
        <v/>
      </c>
      <c r="AU33">
        <f>IF(A33="",-1,N(AO33)+ROW()/10000000)</f>
        <v/>
      </c>
    </row>
    <row r="34">
      <c r="A34" s="19" t="inlineStr">
        <is>
          <t>تطوير المناهج بالتخصص</t>
        </is>
      </c>
      <c r="B34" s="20" t="n">
        <v>100000</v>
      </c>
      <c r="C34" s="21">
        <f>IF(A34="","",N(B34)/12)</f>
        <v/>
      </c>
      <c r="D34" s="22" t="n">
        <v>0</v>
      </c>
      <c r="E34" s="23">
        <f>IF($A34="","",IFERROR(SUMPRODUCT(('[1]عهد ومصروفات دمياط'!$H$8:$H$5007=$A34)*('[1]عهد ومصروفات دمياط'!$S$8:$S$5007=1)*'[1]عهد ومصروفات دمياط'!$T$8:$T$5007),0))</f>
        <v/>
      </c>
      <c r="F34" s="24">
        <f>IF($A34="","",N(D34)-N(E34))</f>
        <v/>
      </c>
      <c r="G34" s="22" t="n">
        <v>0</v>
      </c>
      <c r="H34" s="23">
        <f>IF($A34="","",IFERROR(SUMPRODUCT(('[1]عهد ومصروفات دمياط'!$H$8:$H$5007=$A34)*('[1]عهد ومصروفات دمياط'!$S$8:$S$5007=2)*'[1]عهد ومصروفات دمياط'!$T$8:$T$5007),0))</f>
        <v/>
      </c>
      <c r="I34" s="24">
        <f>IF($A34="","",N(G34)-N(H34))</f>
        <v/>
      </c>
      <c r="J34" s="22" t="n">
        <v>0</v>
      </c>
      <c r="K34" s="23">
        <f>IF($A34="","",IFERROR(SUMPRODUCT(('[1]عهد ومصروفات دمياط'!$H$8:$H$5007=$A34)*('[1]عهد ومصروفات دمياط'!$S$8:$S$5007=3)*'[1]عهد ومصروفات دمياط'!$T$8:$T$5007),0))</f>
        <v/>
      </c>
      <c r="L34" s="24">
        <f>IF($A34="","",N(J34)-N(K34))</f>
        <v/>
      </c>
      <c r="M34" s="22" t="n">
        <v>0</v>
      </c>
      <c r="N34" s="23">
        <f>IF($A34="","",IFERROR(SUMPRODUCT(('[1]عهد ومصروفات دمياط'!$H$8:$H$5007=$A34)*('[1]عهد ومصروفات دمياط'!$S$8:$S$5007=4)*'[1]عهد ومصروفات دمياط'!$T$8:$T$5007),0))</f>
        <v/>
      </c>
      <c r="O34" s="24">
        <f>IF($A34="","",N(M34)-N(N34))</f>
        <v/>
      </c>
      <c r="P34" s="22" t="n">
        <v>0</v>
      </c>
      <c r="Q34" s="23">
        <f>IF($A34="","",IFERROR(SUMPRODUCT(('[1]عهد ومصروفات دمياط'!$H$8:$H$5007=$A34)*('[1]عهد ومصروفات دمياط'!$S$8:$S$5007=5)*'[1]عهد ومصروفات دمياط'!$T$8:$T$5007),0))</f>
        <v/>
      </c>
      <c r="R34" s="24">
        <f>IF($A34="","",N(P34)-N(Q34))</f>
        <v/>
      </c>
      <c r="S34" s="22" t="n">
        <v>0</v>
      </c>
      <c r="T34" s="23">
        <f>IF($A34="","",IFERROR(SUMPRODUCT(('[1]عهد ومصروفات دمياط'!$H$8:$H$5007=$A34)*('[1]عهد ومصروفات دمياط'!$S$8:$S$5007=6)*'[1]عهد ومصروفات دمياط'!$T$8:$T$5007),0))</f>
        <v/>
      </c>
      <c r="U34" s="24">
        <f>IF($A34="","",N(S34)-N(T34))</f>
        <v/>
      </c>
      <c r="V34" s="22" t="n">
        <v>0</v>
      </c>
      <c r="W34" s="23">
        <f>IF($A34="","",IFERROR(SUMPRODUCT(('[1]عهد ومصروفات دمياط'!$H$8:$H$5007=$A34)*('[1]عهد ومصروفات دمياط'!$S$8:$S$5007=7)*'[1]عهد ومصروفات دمياط'!$T$8:$T$5007),0))</f>
        <v/>
      </c>
      <c r="X34" s="24">
        <f>IF($A34="","",N(V34)-N(W34))</f>
        <v/>
      </c>
      <c r="Y34" s="22" t="n">
        <v>0</v>
      </c>
      <c r="Z34" s="23">
        <f>IF($A34="","",IFERROR(SUMPRODUCT(('[1]عهد ومصروفات دمياط'!$H$8:$H$5007=$A34)*('[1]عهد ومصروفات دمياط'!$S$8:$S$5007=8)*'[1]عهد ومصروفات دمياط'!$T$8:$T$5007),0))</f>
        <v/>
      </c>
      <c r="AA34" s="24">
        <f>IF($A34="","",N(Y34)-N(Z34))</f>
        <v/>
      </c>
      <c r="AB34" s="22" t="n">
        <v>0</v>
      </c>
      <c r="AC34" s="23">
        <f>IF($A34="","",IFERROR(SUMPRODUCT(('[1]عهد ومصروفات دمياط'!$H$8:$H$5007=$A34)*('[1]عهد ومصروفات دمياط'!$S$8:$S$5007=9)*'[1]عهد ومصروفات دمياط'!$T$8:$T$5007),0))</f>
        <v/>
      </c>
      <c r="AD34" s="24">
        <f>IF($A34="","",N(AB34)-N(AC34))</f>
        <v/>
      </c>
      <c r="AE34" s="22" t="n">
        <v>0</v>
      </c>
      <c r="AF34" s="23">
        <f>IF($A34="","",IFERROR(SUMPRODUCT(('[1]عهد ومصروفات دمياط'!$H$8:$H$5007=$A34)*('[1]عهد ومصروفات دمياط'!$S$8:$S$5007=10)*'[1]عهد ومصروفات دمياط'!$T$8:$T$5007),0))</f>
        <v/>
      </c>
      <c r="AG34" s="24">
        <f>IF($A34="","",N(AE34)-N(AF34))</f>
        <v/>
      </c>
      <c r="AH34" s="22" t="n">
        <v>0</v>
      </c>
      <c r="AI34" s="23">
        <f>IF($A34="","",IFERROR(SUMPRODUCT(('[1]عهد ومصروفات دمياط'!$H$8:$H$5007=$A34)*('[1]عهد ومصروفات دمياط'!$S$8:$S$5007=11)*'[1]عهد ومصروفات دمياط'!$T$8:$T$5007),0))</f>
        <v/>
      </c>
      <c r="AJ34" s="24">
        <f>IF($A34="","",N(AH34)-N(AI34))</f>
        <v/>
      </c>
      <c r="AK34" s="22" t="n">
        <v>0</v>
      </c>
      <c r="AL34" s="23">
        <f>IF($A34="","",IFERROR(SUMPRODUCT(('[1]عهد ومصروفات دمياط'!$H$8:$H$5007=$A34)*('[1]عهد ومصروفات دمياط'!$S$8:$S$5007=12)*'[1]عهد ومصروفات دمياط'!$T$8:$T$5007),0))</f>
        <v/>
      </c>
      <c r="AM34" s="24">
        <f>IF($A34="","",N(AK34)-N(AL34))</f>
        <v/>
      </c>
      <c r="AN34" s="25">
        <f>IF(A34="","",N(D34)+N(G34)+N(J34)+N(M34)+N(P34)+N(S34)+N(V34)+N(Y34)+N(AB34)+N(AE34)+N(AH34)+N(AK34))</f>
        <v/>
      </c>
      <c r="AO34" s="25">
        <f>IF(A34="","",N(E34)+N(H34)+N(K34)+N(N34)+N(Q34)+N(T34)+N(W34)+N(Z34)+N(AC34)+N(AF34)+N(AI34)+N(AL34))</f>
        <v/>
      </c>
      <c r="AP34" s="26">
        <f>IF(A34="","",N(B34)-AO34)</f>
        <v/>
      </c>
      <c r="AQ34">
        <f>IF(A34="",0,(N(F34)&lt;0)+(N(I34)&lt;0)+(N(L34)&lt;0)+(N(O34)&lt;0)+(N(R34)&lt;0)+(N(U34)&lt;0)+(N(X34)&lt;0)+(N(AA34)&lt;0)+(N(AD34)&lt;0)+(N(AG34)&lt;0)+(N(AJ34)&lt;0)+(N(AM34)&lt;0))</f>
        <v/>
      </c>
      <c r="AR34">
        <f>IF(A34="",0,MAX(0,-N(F34))+MAX(0,-N(I34))+MAX(0,-N(L34))+MAX(0,-N(O34))+MAX(0,-N(R34))+MAX(0,-N(U34))+MAX(0,-N(X34))+MAX(0,-N(AA34))+MAX(0,-N(AD34))+MAX(0,-N(AG34))+MAX(0,-N(AJ34))+MAX(0,-N(AM34)))</f>
        <v/>
      </c>
      <c r="AS34">
        <f>IF(A34="",0,IF(OR(N(AP34)&lt;0,AQ34&gt;0),1,0))</f>
        <v/>
      </c>
      <c r="AT34">
        <f>AT33+AS34</f>
        <v/>
      </c>
      <c r="AU34">
        <f>IF(A34="",-1,N(AO34)+ROW()/10000000)</f>
        <v/>
      </c>
    </row>
    <row r="35">
      <c r="A35" s="19" t="inlineStr">
        <is>
          <t>اشتراك وتشغيل المنصة التعليمية والإدارية</t>
        </is>
      </c>
      <c r="B35" s="20" t="n">
        <v>300000</v>
      </c>
      <c r="C35" s="21">
        <f>IF(A35="","",N(B35)/12)</f>
        <v/>
      </c>
      <c r="D35" s="22" t="n">
        <v>0</v>
      </c>
      <c r="E35" s="23">
        <f>IF($A35="","",IFERROR(SUMPRODUCT(('[1]عهد ومصروفات دمياط'!$H$8:$H$5007=$A35)*('[1]عهد ومصروفات دمياط'!$S$8:$S$5007=1)*'[1]عهد ومصروفات دمياط'!$T$8:$T$5007),0))</f>
        <v/>
      </c>
      <c r="F35" s="24">
        <f>IF($A35="","",N(D35)-N(E35))</f>
        <v/>
      </c>
      <c r="G35" s="22" t="n">
        <v>0</v>
      </c>
      <c r="H35" s="23">
        <f>IF($A35="","",IFERROR(SUMPRODUCT(('[1]عهد ومصروفات دمياط'!$H$8:$H$5007=$A35)*('[1]عهد ومصروفات دمياط'!$S$8:$S$5007=2)*'[1]عهد ومصروفات دمياط'!$T$8:$T$5007),0))</f>
        <v/>
      </c>
      <c r="I35" s="24">
        <f>IF($A35="","",N(G35)-N(H35))</f>
        <v/>
      </c>
      <c r="J35" s="22" t="n">
        <v>0</v>
      </c>
      <c r="K35" s="23">
        <f>IF($A35="","",IFERROR(SUMPRODUCT(('[1]عهد ومصروفات دمياط'!$H$8:$H$5007=$A35)*('[1]عهد ومصروفات دمياط'!$S$8:$S$5007=3)*'[1]عهد ومصروفات دمياط'!$T$8:$T$5007),0))</f>
        <v/>
      </c>
      <c r="L35" s="24">
        <f>IF($A35="","",N(J35)-N(K35))</f>
        <v/>
      </c>
      <c r="M35" s="22" t="n">
        <v>0</v>
      </c>
      <c r="N35" s="23">
        <f>IF($A35="","",IFERROR(SUMPRODUCT(('[1]عهد ومصروفات دمياط'!$H$8:$H$5007=$A35)*('[1]عهد ومصروفات دمياط'!$S$8:$S$5007=4)*'[1]عهد ومصروفات دمياط'!$T$8:$T$5007),0))</f>
        <v/>
      </c>
      <c r="O35" s="24">
        <f>IF($A35="","",N(M35)-N(N35))</f>
        <v/>
      </c>
      <c r="P35" s="22" t="n">
        <v>0</v>
      </c>
      <c r="Q35" s="23">
        <f>IF($A35="","",IFERROR(SUMPRODUCT(('[1]عهد ومصروفات دمياط'!$H$8:$H$5007=$A35)*('[1]عهد ومصروفات دمياط'!$S$8:$S$5007=5)*'[1]عهد ومصروفات دمياط'!$T$8:$T$5007),0))</f>
        <v/>
      </c>
      <c r="R35" s="24">
        <f>IF($A35="","",N(P35)-N(Q35))</f>
        <v/>
      </c>
      <c r="S35" s="22" t="n">
        <v>0</v>
      </c>
      <c r="T35" s="23">
        <f>IF($A35="","",IFERROR(SUMPRODUCT(('[1]عهد ومصروفات دمياط'!$H$8:$H$5007=$A35)*('[1]عهد ومصروفات دمياط'!$S$8:$S$5007=6)*'[1]عهد ومصروفات دمياط'!$T$8:$T$5007),0))</f>
        <v/>
      </c>
      <c r="U35" s="24">
        <f>IF($A35="","",N(S35)-N(T35))</f>
        <v/>
      </c>
      <c r="V35" s="22" t="n">
        <v>0</v>
      </c>
      <c r="W35" s="23">
        <f>IF($A35="","",IFERROR(SUMPRODUCT(('[1]عهد ومصروفات دمياط'!$H$8:$H$5007=$A35)*('[1]عهد ومصروفات دمياط'!$S$8:$S$5007=7)*'[1]عهد ومصروفات دمياط'!$T$8:$T$5007),0))</f>
        <v/>
      </c>
      <c r="X35" s="24">
        <f>IF($A35="","",N(V35)-N(W35))</f>
        <v/>
      </c>
      <c r="Y35" s="22" t="n">
        <v>0</v>
      </c>
      <c r="Z35" s="23">
        <f>IF($A35="","",IFERROR(SUMPRODUCT(('[1]عهد ومصروفات دمياط'!$H$8:$H$5007=$A35)*('[1]عهد ومصروفات دمياط'!$S$8:$S$5007=8)*'[1]عهد ومصروفات دمياط'!$T$8:$T$5007),0))</f>
        <v/>
      </c>
      <c r="AA35" s="24">
        <f>IF($A35="","",N(Y35)-N(Z35))</f>
        <v/>
      </c>
      <c r="AB35" s="22" t="n">
        <v>0</v>
      </c>
      <c r="AC35" s="23">
        <f>IF($A35="","",IFERROR(SUMPRODUCT(('[1]عهد ومصروفات دمياط'!$H$8:$H$5007=$A35)*('[1]عهد ومصروفات دمياط'!$S$8:$S$5007=9)*'[1]عهد ومصروفات دمياط'!$T$8:$T$5007),0))</f>
        <v/>
      </c>
      <c r="AD35" s="24">
        <f>IF($A35="","",N(AB35)-N(AC35))</f>
        <v/>
      </c>
      <c r="AE35" s="22" t="n">
        <v>0</v>
      </c>
      <c r="AF35" s="23">
        <f>IF($A35="","",IFERROR(SUMPRODUCT(('[1]عهد ومصروفات دمياط'!$H$8:$H$5007=$A35)*('[1]عهد ومصروفات دمياط'!$S$8:$S$5007=10)*'[1]عهد ومصروفات دمياط'!$T$8:$T$5007),0))</f>
        <v/>
      </c>
      <c r="AG35" s="24">
        <f>IF($A35="","",N(AE35)-N(AF35))</f>
        <v/>
      </c>
      <c r="AH35" s="22" t="n">
        <v>0</v>
      </c>
      <c r="AI35" s="23">
        <f>IF($A35="","",IFERROR(SUMPRODUCT(('[1]عهد ومصروفات دمياط'!$H$8:$H$5007=$A35)*('[1]عهد ومصروفات دمياط'!$S$8:$S$5007=11)*'[1]عهد ومصروفات دمياط'!$T$8:$T$5007),0))</f>
        <v/>
      </c>
      <c r="AJ35" s="24">
        <f>IF($A35="","",N(AH35)-N(AI35))</f>
        <v/>
      </c>
      <c r="AK35" s="22" t="n">
        <v>0</v>
      </c>
      <c r="AL35" s="23">
        <f>IF($A35="","",IFERROR(SUMPRODUCT(('[1]عهد ومصروفات دمياط'!$H$8:$H$5007=$A35)*('[1]عهد ومصروفات دمياط'!$S$8:$S$5007=12)*'[1]عهد ومصروفات دمياط'!$T$8:$T$5007),0))</f>
        <v/>
      </c>
      <c r="AM35" s="24">
        <f>IF($A35="","",N(AK35)-N(AL35))</f>
        <v/>
      </c>
      <c r="AN35" s="25">
        <f>IF(A35="","",N(D35)+N(G35)+N(J35)+N(M35)+N(P35)+N(S35)+N(V35)+N(Y35)+N(AB35)+N(AE35)+N(AH35)+N(AK35))</f>
        <v/>
      </c>
      <c r="AO35" s="25">
        <f>IF(A35="","",N(E35)+N(H35)+N(K35)+N(N35)+N(Q35)+N(T35)+N(W35)+N(Z35)+N(AC35)+N(AF35)+N(AI35)+N(AL35))</f>
        <v/>
      </c>
      <c r="AP35" s="26">
        <f>IF(A35="","",N(B35)-AO35)</f>
        <v/>
      </c>
      <c r="AQ35">
        <f>IF(A35="",0,(N(F35)&lt;0)+(N(I35)&lt;0)+(N(L35)&lt;0)+(N(O35)&lt;0)+(N(R35)&lt;0)+(N(U35)&lt;0)+(N(X35)&lt;0)+(N(AA35)&lt;0)+(N(AD35)&lt;0)+(N(AG35)&lt;0)+(N(AJ35)&lt;0)+(N(AM35)&lt;0))</f>
        <v/>
      </c>
      <c r="AR35">
        <f>IF(A35="",0,MAX(0,-N(F35))+MAX(0,-N(I35))+MAX(0,-N(L35))+MAX(0,-N(O35))+MAX(0,-N(R35))+MAX(0,-N(U35))+MAX(0,-N(X35))+MAX(0,-N(AA35))+MAX(0,-N(AD35))+MAX(0,-N(AG35))+MAX(0,-N(AJ35))+MAX(0,-N(AM35)))</f>
        <v/>
      </c>
      <c r="AS35">
        <f>IF(A35="",0,IF(OR(N(AP35)&lt;0,AQ35&gt;0),1,0))</f>
        <v/>
      </c>
      <c r="AT35">
        <f>AT34+AS35</f>
        <v/>
      </c>
      <c r="AU35">
        <f>IF(A35="",-1,N(AO35)+ROW()/10000000)</f>
        <v/>
      </c>
    </row>
    <row r="36">
      <c r="A36" s="19" t="inlineStr">
        <is>
          <t>مصروفات الإدارة الشهرية</t>
        </is>
      </c>
      <c r="B36" s="20" t="n">
        <v>1800000</v>
      </c>
      <c r="C36" s="21">
        <f>IF(A36="","",N(B36)/12)</f>
        <v/>
      </c>
      <c r="D36" s="22" t="n">
        <v>150000</v>
      </c>
      <c r="E36" s="23">
        <f>IF($A36="","",IFERROR(SUMPRODUCT(('[1]عهد ومصروفات دمياط'!$H$8:$H$5007=$A36)*('[1]عهد ومصروفات دمياط'!$S$8:$S$5007=1)*'[1]عهد ومصروفات دمياط'!$T$8:$T$5007),0))</f>
        <v/>
      </c>
      <c r="F36" s="24">
        <f>IF($A36="","",N(D36)-N(E36))</f>
        <v/>
      </c>
      <c r="G36" s="22" t="n">
        <v>150000</v>
      </c>
      <c r="H36" s="23">
        <f>IF($A36="","",IFERROR(SUMPRODUCT(('[1]عهد ومصروفات دمياط'!$H$8:$H$5007=$A36)*('[1]عهد ومصروفات دمياط'!$S$8:$S$5007=2)*'[1]عهد ومصروفات دمياط'!$T$8:$T$5007),0))</f>
        <v/>
      </c>
      <c r="I36" s="24">
        <f>IF($A36="","",N(G36)-N(H36))</f>
        <v/>
      </c>
      <c r="J36" s="22" t="n">
        <v>150000</v>
      </c>
      <c r="K36" s="23">
        <f>IF($A36="","",IFERROR(SUMPRODUCT(('[1]عهد ومصروفات دمياط'!$H$8:$H$5007=$A36)*('[1]عهد ومصروفات دمياط'!$S$8:$S$5007=3)*'[1]عهد ومصروفات دمياط'!$T$8:$T$5007),0))</f>
        <v/>
      </c>
      <c r="L36" s="24">
        <f>IF($A36="","",N(J36)-N(K36))</f>
        <v/>
      </c>
      <c r="M36" s="22" t="n">
        <v>150000</v>
      </c>
      <c r="N36" s="23">
        <f>IF($A36="","",IFERROR(SUMPRODUCT(('[1]عهد ومصروفات دمياط'!$H$8:$H$5007=$A36)*('[1]عهد ومصروفات دمياط'!$S$8:$S$5007=4)*'[1]عهد ومصروفات دمياط'!$T$8:$T$5007),0))</f>
        <v/>
      </c>
      <c r="O36" s="24">
        <f>IF($A36="","",N(M36)-N(N36))</f>
        <v/>
      </c>
      <c r="P36" s="22" t="n">
        <v>150000</v>
      </c>
      <c r="Q36" s="23">
        <f>IF($A36="","",IFERROR(SUMPRODUCT(('[1]عهد ومصروفات دمياط'!$H$8:$H$5007=$A36)*('[1]عهد ومصروفات دمياط'!$S$8:$S$5007=5)*'[1]عهد ومصروفات دمياط'!$T$8:$T$5007),0))</f>
        <v/>
      </c>
      <c r="R36" s="24">
        <f>IF($A36="","",N(P36)-N(Q36))</f>
        <v/>
      </c>
      <c r="S36" s="22" t="n">
        <v>150000</v>
      </c>
      <c r="T36" s="23">
        <f>IF($A36="","",IFERROR(SUMPRODUCT(('[1]عهد ومصروفات دمياط'!$H$8:$H$5007=$A36)*('[1]عهد ومصروفات دمياط'!$S$8:$S$5007=6)*'[1]عهد ومصروفات دمياط'!$T$8:$T$5007),0))</f>
        <v/>
      </c>
      <c r="U36" s="24">
        <f>IF($A36="","",N(S36)-N(T36))</f>
        <v/>
      </c>
      <c r="V36" s="22" t="n">
        <v>150000</v>
      </c>
      <c r="W36" s="23">
        <f>IF($A36="","",IFERROR(SUMPRODUCT(('[1]عهد ومصروفات دمياط'!$H$8:$H$5007=$A36)*('[1]عهد ومصروفات دمياط'!$S$8:$S$5007=7)*'[1]عهد ومصروفات دمياط'!$T$8:$T$5007),0))</f>
        <v/>
      </c>
      <c r="X36" s="24">
        <f>IF($A36="","",N(V36)-N(W36))</f>
        <v/>
      </c>
      <c r="Y36" s="22" t="n">
        <v>150000</v>
      </c>
      <c r="Z36" s="23">
        <f>IF($A36="","",IFERROR(SUMPRODUCT(('[1]عهد ومصروفات دمياط'!$H$8:$H$5007=$A36)*('[1]عهد ومصروفات دمياط'!$S$8:$S$5007=8)*'[1]عهد ومصروفات دمياط'!$T$8:$T$5007),0))</f>
        <v/>
      </c>
      <c r="AA36" s="24">
        <f>IF($A36="","",N(Y36)-N(Z36))</f>
        <v/>
      </c>
      <c r="AB36" s="22" t="n">
        <v>150000</v>
      </c>
      <c r="AC36" s="23">
        <f>IF($A36="","",IFERROR(SUMPRODUCT(('[1]عهد ومصروفات دمياط'!$H$8:$H$5007=$A36)*('[1]عهد ومصروفات دمياط'!$S$8:$S$5007=9)*'[1]عهد ومصروفات دمياط'!$T$8:$T$5007),0))</f>
        <v/>
      </c>
      <c r="AD36" s="24">
        <f>IF($A36="","",N(AB36)-N(AC36))</f>
        <v/>
      </c>
      <c r="AE36" s="22" t="n">
        <v>150000</v>
      </c>
      <c r="AF36" s="23">
        <f>IF($A36="","",IFERROR(SUMPRODUCT(('[1]عهد ومصروفات دمياط'!$H$8:$H$5007=$A36)*('[1]عهد ومصروفات دمياط'!$S$8:$S$5007=10)*'[1]عهد ومصروفات دمياط'!$T$8:$T$5007),0))</f>
        <v/>
      </c>
      <c r="AG36" s="24">
        <f>IF($A36="","",N(AE36)-N(AF36))</f>
        <v/>
      </c>
      <c r="AH36" s="22" t="n">
        <v>150000</v>
      </c>
      <c r="AI36" s="23">
        <f>IF($A36="","",IFERROR(SUMPRODUCT(('[1]عهد ومصروفات دمياط'!$H$8:$H$5007=$A36)*('[1]عهد ومصروفات دمياط'!$S$8:$S$5007=11)*'[1]عهد ومصروفات دمياط'!$T$8:$T$5007),0))</f>
        <v/>
      </c>
      <c r="AJ36" s="24">
        <f>IF($A36="","",N(AH36)-N(AI36))</f>
        <v/>
      </c>
      <c r="AK36" s="22" t="n">
        <v>150000</v>
      </c>
      <c r="AL36" s="23">
        <f>IF($A36="","",IFERROR(SUMPRODUCT(('[1]عهد ومصروفات دمياط'!$H$8:$H$5007=$A36)*('[1]عهد ومصروفات دمياط'!$S$8:$S$5007=12)*'[1]عهد ومصروفات دمياط'!$T$8:$T$5007),0))</f>
        <v/>
      </c>
      <c r="AM36" s="24">
        <f>IF($A36="","",N(AK36)-N(AL36))</f>
        <v/>
      </c>
      <c r="AN36" s="25">
        <f>IF(A36="","",N(D36)+N(G36)+N(J36)+N(M36)+N(P36)+N(S36)+N(V36)+N(Y36)+N(AB36)+N(AE36)+N(AH36)+N(AK36))</f>
        <v/>
      </c>
      <c r="AO36" s="25">
        <f>IF(A36="","",N(E36)+N(H36)+N(K36)+N(N36)+N(Q36)+N(T36)+N(W36)+N(Z36)+N(AC36)+N(AF36)+N(AI36)+N(AL36))</f>
        <v/>
      </c>
      <c r="AP36" s="26">
        <f>IF(A36="","",N(B36)-AO36)</f>
        <v/>
      </c>
      <c r="AQ36">
        <f>IF(A36="",0,(N(F36)&lt;0)+(N(I36)&lt;0)+(N(L36)&lt;0)+(N(O36)&lt;0)+(N(R36)&lt;0)+(N(U36)&lt;0)+(N(X36)&lt;0)+(N(AA36)&lt;0)+(N(AD36)&lt;0)+(N(AG36)&lt;0)+(N(AJ36)&lt;0)+(N(AM36)&lt;0))</f>
        <v/>
      </c>
      <c r="AR36">
        <f>IF(A36="",0,MAX(0,-N(F36))+MAX(0,-N(I36))+MAX(0,-N(L36))+MAX(0,-N(O36))+MAX(0,-N(R36))+MAX(0,-N(U36))+MAX(0,-N(X36))+MAX(0,-N(AA36))+MAX(0,-N(AD36))+MAX(0,-N(AG36))+MAX(0,-N(AJ36))+MAX(0,-N(AM36)))</f>
        <v/>
      </c>
      <c r="AS36">
        <f>IF(A36="",0,IF(OR(N(AP36)&lt;0,AQ36&gt;0),1,0))</f>
        <v/>
      </c>
      <c r="AT36">
        <f>AT35+AS36</f>
        <v/>
      </c>
      <c r="AU36">
        <f>IF(A36="",-1,N(AO36)+ROW()/10000000)</f>
        <v/>
      </c>
    </row>
    <row r="37">
      <c r="A37" s="19" t="inlineStr">
        <is>
          <t>ضريبة القيمة المضافة ( أتعاب الإدارة )</t>
        </is>
      </c>
      <c r="B37" s="20" t="n">
        <v>252000.0000000001</v>
      </c>
      <c r="C37" s="21">
        <f>IF(A37="","",N(B37)/12)</f>
        <v/>
      </c>
      <c r="D37" s="22" t="n">
        <v>21000</v>
      </c>
      <c r="E37" s="23">
        <f>IF($A37="","",IFERROR(SUMPRODUCT(('[1]عهد ومصروفات دمياط'!$H$8:$H$5007=$A37)*('[1]عهد ومصروفات دمياط'!$S$8:$S$5007=1)*'[1]عهد ومصروفات دمياط'!$T$8:$T$5007),0))</f>
        <v/>
      </c>
      <c r="F37" s="24">
        <f>IF($A37="","",N(D37)-N(E37))</f>
        <v/>
      </c>
      <c r="G37" s="22" t="n">
        <v>21000</v>
      </c>
      <c r="H37" s="23">
        <f>IF($A37="","",IFERROR(SUMPRODUCT(('[1]عهد ومصروفات دمياط'!$H$8:$H$5007=$A37)*('[1]عهد ومصروفات دمياط'!$S$8:$S$5007=2)*'[1]عهد ومصروفات دمياط'!$T$8:$T$5007),0))</f>
        <v/>
      </c>
      <c r="I37" s="24">
        <f>IF($A37="","",N(G37)-N(H37))</f>
        <v/>
      </c>
      <c r="J37" s="22" t="n">
        <v>21000</v>
      </c>
      <c r="K37" s="23">
        <f>IF($A37="","",IFERROR(SUMPRODUCT(('[1]عهد ومصروفات دمياط'!$H$8:$H$5007=$A37)*('[1]عهد ومصروفات دمياط'!$S$8:$S$5007=3)*'[1]عهد ومصروفات دمياط'!$T$8:$T$5007),0))</f>
        <v/>
      </c>
      <c r="L37" s="24">
        <f>IF($A37="","",N(J37)-N(K37))</f>
        <v/>
      </c>
      <c r="M37" s="22" t="n">
        <v>21000</v>
      </c>
      <c r="N37" s="23">
        <f>IF($A37="","",IFERROR(SUMPRODUCT(('[1]عهد ومصروفات دمياط'!$H$8:$H$5007=$A37)*('[1]عهد ومصروفات دمياط'!$S$8:$S$5007=4)*'[1]عهد ومصروفات دمياط'!$T$8:$T$5007),0))</f>
        <v/>
      </c>
      <c r="O37" s="24">
        <f>IF($A37="","",N(M37)-N(N37))</f>
        <v/>
      </c>
      <c r="P37" s="22" t="n">
        <v>21000</v>
      </c>
      <c r="Q37" s="23">
        <f>IF($A37="","",IFERROR(SUMPRODUCT(('[1]عهد ومصروفات دمياط'!$H$8:$H$5007=$A37)*('[1]عهد ومصروفات دمياط'!$S$8:$S$5007=5)*'[1]عهد ومصروفات دمياط'!$T$8:$T$5007),0))</f>
        <v/>
      </c>
      <c r="R37" s="24">
        <f>IF($A37="","",N(P37)-N(Q37))</f>
        <v/>
      </c>
      <c r="S37" s="22" t="n">
        <v>21000</v>
      </c>
      <c r="T37" s="23">
        <f>IF($A37="","",IFERROR(SUMPRODUCT(('[1]عهد ومصروفات دمياط'!$H$8:$H$5007=$A37)*('[1]عهد ومصروفات دمياط'!$S$8:$S$5007=6)*'[1]عهد ومصروفات دمياط'!$T$8:$T$5007),0))</f>
        <v/>
      </c>
      <c r="U37" s="24">
        <f>IF($A37="","",N(S37)-N(T37))</f>
        <v/>
      </c>
      <c r="V37" s="22" t="n">
        <v>21000</v>
      </c>
      <c r="W37" s="23">
        <f>IF($A37="","",IFERROR(SUMPRODUCT(('[1]عهد ومصروفات دمياط'!$H$8:$H$5007=$A37)*('[1]عهد ومصروفات دمياط'!$S$8:$S$5007=7)*'[1]عهد ومصروفات دمياط'!$T$8:$T$5007),0))</f>
        <v/>
      </c>
      <c r="X37" s="24">
        <f>IF($A37="","",N(V37)-N(W37))</f>
        <v/>
      </c>
      <c r="Y37" s="22" t="n">
        <v>21000</v>
      </c>
      <c r="Z37" s="23">
        <f>IF($A37="","",IFERROR(SUMPRODUCT(('[1]عهد ومصروفات دمياط'!$H$8:$H$5007=$A37)*('[1]عهد ومصروفات دمياط'!$S$8:$S$5007=8)*'[1]عهد ومصروفات دمياط'!$T$8:$T$5007),0))</f>
        <v/>
      </c>
      <c r="AA37" s="24">
        <f>IF($A37="","",N(Y37)-N(Z37))</f>
        <v/>
      </c>
      <c r="AB37" s="22" t="n">
        <v>21000</v>
      </c>
      <c r="AC37" s="23">
        <f>IF($A37="","",IFERROR(SUMPRODUCT(('[1]عهد ومصروفات دمياط'!$H$8:$H$5007=$A37)*('[1]عهد ومصروفات دمياط'!$S$8:$S$5007=9)*'[1]عهد ومصروفات دمياط'!$T$8:$T$5007),0))</f>
        <v/>
      </c>
      <c r="AD37" s="24">
        <f>IF($A37="","",N(AB37)-N(AC37))</f>
        <v/>
      </c>
      <c r="AE37" s="22" t="n">
        <v>21000</v>
      </c>
      <c r="AF37" s="23">
        <f>IF($A37="","",IFERROR(SUMPRODUCT(('[1]عهد ومصروفات دمياط'!$H$8:$H$5007=$A37)*('[1]عهد ومصروفات دمياط'!$S$8:$S$5007=10)*'[1]عهد ومصروفات دمياط'!$T$8:$T$5007),0))</f>
        <v/>
      </c>
      <c r="AG37" s="24">
        <f>IF($A37="","",N(AE37)-N(AF37))</f>
        <v/>
      </c>
      <c r="AH37" s="22" t="n">
        <v>21000</v>
      </c>
      <c r="AI37" s="23">
        <f>IF($A37="","",IFERROR(SUMPRODUCT(('[1]عهد ومصروفات دمياط'!$H$8:$H$5007=$A37)*('[1]عهد ومصروفات دمياط'!$S$8:$S$5007=11)*'[1]عهد ومصروفات دمياط'!$T$8:$T$5007),0))</f>
        <v/>
      </c>
      <c r="AJ37" s="24">
        <f>IF($A37="","",N(AH37)-N(AI37))</f>
        <v/>
      </c>
      <c r="AK37" s="22" t="n">
        <v>21000</v>
      </c>
      <c r="AL37" s="23">
        <f>IF($A37="","",IFERROR(SUMPRODUCT(('[1]عهد ومصروفات دمياط'!$H$8:$H$5007=$A37)*('[1]عهد ومصروفات دمياط'!$S$8:$S$5007=12)*'[1]عهد ومصروفات دمياط'!$T$8:$T$5007),0))</f>
        <v/>
      </c>
      <c r="AM37" s="24">
        <f>IF($A37="","",N(AK37)-N(AL37))</f>
        <v/>
      </c>
      <c r="AN37" s="25">
        <f>IF(A37="","",N(D37)+N(G37)+N(J37)+N(M37)+N(P37)+N(S37)+N(V37)+N(Y37)+N(AB37)+N(AE37)+N(AH37)+N(AK37))</f>
        <v/>
      </c>
      <c r="AO37" s="25">
        <f>IF(A37="","",N(E37)+N(H37)+N(K37)+N(N37)+N(Q37)+N(T37)+N(W37)+N(Z37)+N(AC37)+N(AF37)+N(AI37)+N(AL37))</f>
        <v/>
      </c>
      <c r="AP37" s="26">
        <f>IF(A37="","",N(B37)-AO37)</f>
        <v/>
      </c>
      <c r="AQ37">
        <f>IF(A37="",0,(N(F37)&lt;0)+(N(I37)&lt;0)+(N(L37)&lt;0)+(N(O37)&lt;0)+(N(R37)&lt;0)+(N(U37)&lt;0)+(N(X37)&lt;0)+(N(AA37)&lt;0)+(N(AD37)&lt;0)+(N(AG37)&lt;0)+(N(AJ37)&lt;0)+(N(AM37)&lt;0))</f>
        <v/>
      </c>
      <c r="AR37">
        <f>IF(A37="",0,MAX(0,-N(F37))+MAX(0,-N(I37))+MAX(0,-N(L37))+MAX(0,-N(O37))+MAX(0,-N(R37))+MAX(0,-N(U37))+MAX(0,-N(X37))+MAX(0,-N(AA37))+MAX(0,-N(AD37))+MAX(0,-N(AG37))+MAX(0,-N(AJ37))+MAX(0,-N(AM37)))</f>
        <v/>
      </c>
      <c r="AS37">
        <f>IF(A37="",0,IF(OR(N(AP37)&lt;0,AQ37&gt;0),1,0))</f>
        <v/>
      </c>
      <c r="AT37">
        <f>AT36+AS37</f>
        <v/>
      </c>
      <c r="AU37">
        <f>IF(A37="",-1,N(AO37)+ROW()/10000000)</f>
        <v/>
      </c>
    </row>
    <row r="38">
      <c r="A38" s="19" t="inlineStr">
        <is>
          <t>أصول ثابتة وتجهيزات</t>
        </is>
      </c>
      <c r="B38" s="20" t="n">
        <v>0</v>
      </c>
      <c r="C38" s="21">
        <f>IF(A38="","",N(B38)/12)</f>
        <v/>
      </c>
      <c r="D38" s="22" t="n">
        <v>0</v>
      </c>
      <c r="E38" s="23">
        <f>IF($A38="","",IFERROR(SUMPRODUCT(('[1]عهد ومصروفات دمياط'!$H$8:$H$5007=$A38)*('[1]عهد ومصروفات دمياط'!$S$8:$S$5007=1)*'[1]عهد ومصروفات دمياط'!$T$8:$T$5007),0))</f>
        <v/>
      </c>
      <c r="F38" s="24">
        <f>IF($A38="","",N(D38)-N(E38))</f>
        <v/>
      </c>
      <c r="G38" s="22" t="n">
        <v>0</v>
      </c>
      <c r="H38" s="23">
        <f>IF($A38="","",IFERROR(SUMPRODUCT(('[1]عهد ومصروفات دمياط'!$H$8:$H$5007=$A38)*('[1]عهد ومصروفات دمياط'!$S$8:$S$5007=2)*'[1]عهد ومصروفات دمياط'!$T$8:$T$5007),0))</f>
        <v/>
      </c>
      <c r="I38" s="24">
        <f>IF($A38="","",N(G38)-N(H38))</f>
        <v/>
      </c>
      <c r="J38" s="22" t="n">
        <v>0</v>
      </c>
      <c r="K38" s="23">
        <f>IF($A38="","",IFERROR(SUMPRODUCT(('[1]عهد ومصروفات دمياط'!$H$8:$H$5007=$A38)*('[1]عهد ومصروفات دمياط'!$S$8:$S$5007=3)*'[1]عهد ومصروفات دمياط'!$T$8:$T$5007),0))</f>
        <v/>
      </c>
      <c r="L38" s="24">
        <f>IF($A38="","",N(J38)-N(K38))</f>
        <v/>
      </c>
      <c r="M38" s="22" t="n">
        <v>0</v>
      </c>
      <c r="N38" s="23">
        <f>IF($A38="","",IFERROR(SUMPRODUCT(('[1]عهد ومصروفات دمياط'!$H$8:$H$5007=$A38)*('[1]عهد ومصروفات دمياط'!$S$8:$S$5007=4)*'[1]عهد ومصروفات دمياط'!$T$8:$T$5007),0))</f>
        <v/>
      </c>
      <c r="O38" s="24">
        <f>IF($A38="","",N(M38)-N(N38))</f>
        <v/>
      </c>
      <c r="P38" s="22" t="n">
        <v>0</v>
      </c>
      <c r="Q38" s="23">
        <f>IF($A38="","",IFERROR(SUMPRODUCT(('[1]عهد ومصروفات دمياط'!$H$8:$H$5007=$A38)*('[1]عهد ومصروفات دمياط'!$S$8:$S$5007=5)*'[1]عهد ومصروفات دمياط'!$T$8:$T$5007),0))</f>
        <v/>
      </c>
      <c r="R38" s="24">
        <f>IF($A38="","",N(P38)-N(Q38))</f>
        <v/>
      </c>
      <c r="S38" s="22" t="n">
        <v>0</v>
      </c>
      <c r="T38" s="23">
        <f>IF($A38="","",IFERROR(SUMPRODUCT(('[1]عهد ومصروفات دمياط'!$H$8:$H$5007=$A38)*('[1]عهد ومصروفات دمياط'!$S$8:$S$5007=6)*'[1]عهد ومصروفات دمياط'!$T$8:$T$5007),0))</f>
        <v/>
      </c>
      <c r="U38" s="24">
        <f>IF($A38="","",N(S38)-N(T38))</f>
        <v/>
      </c>
      <c r="V38" s="22" t="n">
        <v>0</v>
      </c>
      <c r="W38" s="23">
        <f>IF($A38="","",IFERROR(SUMPRODUCT(('[1]عهد ومصروفات دمياط'!$H$8:$H$5007=$A38)*('[1]عهد ومصروفات دمياط'!$S$8:$S$5007=7)*'[1]عهد ومصروفات دمياط'!$T$8:$T$5007),0))</f>
        <v/>
      </c>
      <c r="X38" s="24">
        <f>IF($A38="","",N(V38)-N(W38))</f>
        <v/>
      </c>
      <c r="Y38" s="22" t="n">
        <v>0</v>
      </c>
      <c r="Z38" s="23">
        <f>IF($A38="","",IFERROR(SUMPRODUCT(('[1]عهد ومصروفات دمياط'!$H$8:$H$5007=$A38)*('[1]عهد ومصروفات دمياط'!$S$8:$S$5007=8)*'[1]عهد ومصروفات دمياط'!$T$8:$T$5007),0))</f>
        <v/>
      </c>
      <c r="AA38" s="24">
        <f>IF($A38="","",N(Y38)-N(Z38))</f>
        <v/>
      </c>
      <c r="AB38" s="22" t="n">
        <v>0</v>
      </c>
      <c r="AC38" s="23">
        <f>IF($A38="","",IFERROR(SUMPRODUCT(('[1]عهد ومصروفات دمياط'!$H$8:$H$5007=$A38)*('[1]عهد ومصروفات دمياط'!$S$8:$S$5007=9)*'[1]عهد ومصروفات دمياط'!$T$8:$T$5007),0))</f>
        <v/>
      </c>
      <c r="AD38" s="24">
        <f>IF($A38="","",N(AB38)-N(AC38))</f>
        <v/>
      </c>
      <c r="AE38" s="22" t="n">
        <v>0</v>
      </c>
      <c r="AF38" s="23">
        <f>IF($A38="","",IFERROR(SUMPRODUCT(('[1]عهد ومصروفات دمياط'!$H$8:$H$5007=$A38)*('[1]عهد ومصروفات دمياط'!$S$8:$S$5007=10)*'[1]عهد ومصروفات دمياط'!$T$8:$T$5007),0))</f>
        <v/>
      </c>
      <c r="AG38" s="24">
        <f>IF($A38="","",N(AE38)-N(AF38))</f>
        <v/>
      </c>
      <c r="AH38" s="22" t="n">
        <v>0</v>
      </c>
      <c r="AI38" s="23">
        <f>IF($A38="","",IFERROR(SUMPRODUCT(('[1]عهد ومصروفات دمياط'!$H$8:$H$5007=$A38)*('[1]عهد ومصروفات دمياط'!$S$8:$S$5007=11)*'[1]عهد ومصروفات دمياط'!$T$8:$T$5007),0))</f>
        <v/>
      </c>
      <c r="AJ38" s="24">
        <f>IF($A38="","",N(AH38)-N(AI38))</f>
        <v/>
      </c>
      <c r="AK38" s="22" t="n">
        <v>0</v>
      </c>
      <c r="AL38" s="23">
        <f>IF($A38="","",IFERROR(SUMPRODUCT(('[1]عهد ومصروفات دمياط'!$H$8:$H$5007=$A38)*('[1]عهد ومصروفات دمياط'!$S$8:$S$5007=12)*'[1]عهد ومصروفات دمياط'!$T$8:$T$5007),0))</f>
        <v/>
      </c>
      <c r="AM38" s="24">
        <f>IF($A38="","",N(AK38)-N(AL38))</f>
        <v/>
      </c>
      <c r="AN38" s="25">
        <f>IF(A38="","",N(D38)+N(G38)+N(J38)+N(M38)+N(P38)+N(S38)+N(V38)+N(Y38)+N(AB38)+N(AE38)+N(AH38)+N(AK38))</f>
        <v/>
      </c>
      <c r="AO38" s="25">
        <f>IF(A38="","",N(E38)+N(H38)+N(K38)+N(N38)+N(Q38)+N(T38)+N(W38)+N(Z38)+N(AC38)+N(AF38)+N(AI38)+N(AL38))</f>
        <v/>
      </c>
      <c r="AP38" s="26">
        <f>IF(A38="","",N(B38)-AO38)</f>
        <v/>
      </c>
      <c r="AQ38">
        <f>IF(A38="",0,(N(F38)&lt;0)+(N(I38)&lt;0)+(N(L38)&lt;0)+(N(O38)&lt;0)+(N(R38)&lt;0)+(N(U38)&lt;0)+(N(X38)&lt;0)+(N(AA38)&lt;0)+(N(AD38)&lt;0)+(N(AG38)&lt;0)+(N(AJ38)&lt;0)+(N(AM38)&lt;0))</f>
        <v/>
      </c>
      <c r="AR38">
        <f>IF(A38="",0,MAX(0,-N(F38))+MAX(0,-N(I38))+MAX(0,-N(L38))+MAX(0,-N(O38))+MAX(0,-N(R38))+MAX(0,-N(U38))+MAX(0,-N(X38))+MAX(0,-N(AA38))+MAX(0,-N(AD38))+MAX(0,-N(AG38))+MAX(0,-N(AJ38))+MAX(0,-N(AM38)))</f>
        <v/>
      </c>
      <c r="AS38">
        <f>IF(A38="",0,IF(OR(N(AP38)&lt;0,AQ38&gt;0),1,0))</f>
        <v/>
      </c>
      <c r="AT38">
        <f>AT37+AS38</f>
        <v/>
      </c>
      <c r="AU38">
        <f>IF(A38="",-1,N(AO38)+ROW()/10000000)</f>
        <v/>
      </c>
    </row>
    <row r="39">
      <c r="A39" s="19" t="inlineStr">
        <is>
          <t>تكلفة الاعتماد الدولى والمراجعة الخارجية</t>
        </is>
      </c>
      <c r="B39" s="20" t="n">
        <v>0</v>
      </c>
      <c r="C39" s="21">
        <f>IF(A39="","",N(B39)/12)</f>
        <v/>
      </c>
      <c r="D39" s="22" t="n">
        <v>0</v>
      </c>
      <c r="E39" s="23">
        <f>IF($A39="","",IFERROR(SUMPRODUCT(('[1]عهد ومصروفات دمياط'!$H$8:$H$5007=$A39)*('[1]عهد ومصروفات دمياط'!$S$8:$S$5007=1)*'[1]عهد ومصروفات دمياط'!$T$8:$T$5007),0))</f>
        <v/>
      </c>
      <c r="F39" s="24">
        <f>IF($A39="","",N(D39)-N(E39))</f>
        <v/>
      </c>
      <c r="G39" s="22" t="n">
        <v>0</v>
      </c>
      <c r="H39" s="23">
        <f>IF($A39="","",IFERROR(SUMPRODUCT(('[1]عهد ومصروفات دمياط'!$H$8:$H$5007=$A39)*('[1]عهد ومصروفات دمياط'!$S$8:$S$5007=2)*'[1]عهد ومصروفات دمياط'!$T$8:$T$5007),0))</f>
        <v/>
      </c>
      <c r="I39" s="24">
        <f>IF($A39="","",N(G39)-N(H39))</f>
        <v/>
      </c>
      <c r="J39" s="22" t="n">
        <v>0</v>
      </c>
      <c r="K39" s="23">
        <f>IF($A39="","",IFERROR(SUMPRODUCT(('[1]عهد ومصروفات دمياط'!$H$8:$H$5007=$A39)*('[1]عهد ومصروفات دمياط'!$S$8:$S$5007=3)*'[1]عهد ومصروفات دمياط'!$T$8:$T$5007),0))</f>
        <v/>
      </c>
      <c r="L39" s="24">
        <f>IF($A39="","",N(J39)-N(K39))</f>
        <v/>
      </c>
      <c r="M39" s="22" t="n">
        <v>0</v>
      </c>
      <c r="N39" s="23">
        <f>IF($A39="","",IFERROR(SUMPRODUCT(('[1]عهد ومصروفات دمياط'!$H$8:$H$5007=$A39)*('[1]عهد ومصروفات دمياط'!$S$8:$S$5007=4)*'[1]عهد ومصروفات دمياط'!$T$8:$T$5007),0))</f>
        <v/>
      </c>
      <c r="O39" s="24">
        <f>IF($A39="","",N(M39)-N(N39))</f>
        <v/>
      </c>
      <c r="P39" s="22" t="n">
        <v>0</v>
      </c>
      <c r="Q39" s="23">
        <f>IF($A39="","",IFERROR(SUMPRODUCT(('[1]عهد ومصروفات دمياط'!$H$8:$H$5007=$A39)*('[1]عهد ومصروفات دمياط'!$S$8:$S$5007=5)*'[1]عهد ومصروفات دمياط'!$T$8:$T$5007),0))</f>
        <v/>
      </c>
      <c r="R39" s="24">
        <f>IF($A39="","",N(P39)-N(Q39))</f>
        <v/>
      </c>
      <c r="S39" s="22" t="n">
        <v>0</v>
      </c>
      <c r="T39" s="23">
        <f>IF($A39="","",IFERROR(SUMPRODUCT(('[1]عهد ومصروفات دمياط'!$H$8:$H$5007=$A39)*('[1]عهد ومصروفات دمياط'!$S$8:$S$5007=6)*'[1]عهد ومصروفات دمياط'!$T$8:$T$5007),0))</f>
        <v/>
      </c>
      <c r="U39" s="24">
        <f>IF($A39="","",N(S39)-N(T39))</f>
        <v/>
      </c>
      <c r="V39" s="22" t="n">
        <v>0</v>
      </c>
      <c r="W39" s="23">
        <f>IF($A39="","",IFERROR(SUMPRODUCT(('[1]عهد ومصروفات دمياط'!$H$8:$H$5007=$A39)*('[1]عهد ومصروفات دمياط'!$S$8:$S$5007=7)*'[1]عهد ومصروفات دمياط'!$T$8:$T$5007),0))</f>
        <v/>
      </c>
      <c r="X39" s="24">
        <f>IF($A39="","",N(V39)-N(W39))</f>
        <v/>
      </c>
      <c r="Y39" s="22" t="n">
        <v>0</v>
      </c>
      <c r="Z39" s="23">
        <f>IF($A39="","",IFERROR(SUMPRODUCT(('[1]عهد ومصروفات دمياط'!$H$8:$H$5007=$A39)*('[1]عهد ومصروفات دمياط'!$S$8:$S$5007=8)*'[1]عهد ومصروفات دمياط'!$T$8:$T$5007),0))</f>
        <v/>
      </c>
      <c r="AA39" s="24">
        <f>IF($A39="","",N(Y39)-N(Z39))</f>
        <v/>
      </c>
      <c r="AB39" s="22" t="n">
        <v>0</v>
      </c>
      <c r="AC39" s="23">
        <f>IF($A39="","",IFERROR(SUMPRODUCT(('[1]عهد ومصروفات دمياط'!$H$8:$H$5007=$A39)*('[1]عهد ومصروفات دمياط'!$S$8:$S$5007=9)*'[1]عهد ومصروفات دمياط'!$T$8:$T$5007),0))</f>
        <v/>
      </c>
      <c r="AD39" s="24">
        <f>IF($A39="","",N(AB39)-N(AC39))</f>
        <v/>
      </c>
      <c r="AE39" s="22" t="n">
        <v>0</v>
      </c>
      <c r="AF39" s="23">
        <f>IF($A39="","",IFERROR(SUMPRODUCT(('[1]عهد ومصروفات دمياط'!$H$8:$H$5007=$A39)*('[1]عهد ومصروفات دمياط'!$S$8:$S$5007=10)*'[1]عهد ومصروفات دمياط'!$T$8:$T$5007),0))</f>
        <v/>
      </c>
      <c r="AG39" s="24">
        <f>IF($A39="","",N(AE39)-N(AF39))</f>
        <v/>
      </c>
      <c r="AH39" s="22" t="n">
        <v>0</v>
      </c>
      <c r="AI39" s="23">
        <f>IF($A39="","",IFERROR(SUMPRODUCT(('[1]عهد ومصروفات دمياط'!$H$8:$H$5007=$A39)*('[1]عهد ومصروفات دمياط'!$S$8:$S$5007=11)*'[1]عهد ومصروفات دمياط'!$T$8:$T$5007),0))</f>
        <v/>
      </c>
      <c r="AJ39" s="24">
        <f>IF($A39="","",N(AH39)-N(AI39))</f>
        <v/>
      </c>
      <c r="AK39" s="22" t="n">
        <v>0</v>
      </c>
      <c r="AL39" s="23">
        <f>IF($A39="","",IFERROR(SUMPRODUCT(('[1]عهد ومصروفات دمياط'!$H$8:$H$5007=$A39)*('[1]عهد ومصروفات دمياط'!$S$8:$S$5007=12)*'[1]عهد ومصروفات دمياط'!$T$8:$T$5007),0))</f>
        <v/>
      </c>
      <c r="AM39" s="24">
        <f>IF($A39="","",N(AK39)-N(AL39))</f>
        <v/>
      </c>
      <c r="AN39" s="25">
        <f>IF(A39="","",N(D39)+N(G39)+N(J39)+N(M39)+N(P39)+N(S39)+N(V39)+N(Y39)+N(AB39)+N(AE39)+N(AH39)+N(AK39))</f>
        <v/>
      </c>
      <c r="AO39" s="25">
        <f>IF(A39="","",N(E39)+N(H39)+N(K39)+N(N39)+N(Q39)+N(T39)+N(W39)+N(Z39)+N(AC39)+N(AF39)+N(AI39)+N(AL39))</f>
        <v/>
      </c>
      <c r="AP39" s="26">
        <f>IF(A39="","",N(B39)-AO39)</f>
        <v/>
      </c>
      <c r="AQ39">
        <f>IF(A39="",0,(N(F39)&lt;0)+(N(I39)&lt;0)+(N(L39)&lt;0)+(N(O39)&lt;0)+(N(R39)&lt;0)+(N(U39)&lt;0)+(N(X39)&lt;0)+(N(AA39)&lt;0)+(N(AD39)&lt;0)+(N(AG39)&lt;0)+(N(AJ39)&lt;0)+(N(AM39)&lt;0))</f>
        <v/>
      </c>
      <c r="AR39">
        <f>IF(A39="",0,MAX(0,-N(F39))+MAX(0,-N(I39))+MAX(0,-N(L39))+MAX(0,-N(O39))+MAX(0,-N(R39))+MAX(0,-N(U39))+MAX(0,-N(X39))+MAX(0,-N(AA39))+MAX(0,-N(AD39))+MAX(0,-N(AG39))+MAX(0,-N(AJ39))+MAX(0,-N(AM39)))</f>
        <v/>
      </c>
      <c r="AS39">
        <f>IF(A39="",0,IF(OR(N(AP39)&lt;0,AQ39&gt;0),1,0))</f>
        <v/>
      </c>
      <c r="AT39">
        <f>AT38+AS39</f>
        <v/>
      </c>
      <c r="AU39">
        <f>IF(A39="",-1,N(AO39)+ROW()/10000000)</f>
        <v/>
      </c>
    </row>
    <row r="40">
      <c r="A40" s="19" t="n"/>
      <c r="B40" s="20" t="n"/>
      <c r="C40" s="21">
        <f>IF(A40="","",N(B40)/12)</f>
        <v/>
      </c>
      <c r="D40" s="22" t="n"/>
      <c r="E40" s="23">
        <f>IF($A40="","",IFERROR(SUMPRODUCT(('[1]عهد ومصروفات دمياط'!$H$8:$H$5007=$A40)*('[1]عهد ومصروفات دمياط'!$S$8:$S$5007=1)*'[1]عهد ومصروفات دمياط'!$T$8:$T$5007),0))</f>
        <v/>
      </c>
      <c r="F40" s="24">
        <f>IF($A40="","",N(D40)-N(E40))</f>
        <v/>
      </c>
      <c r="G40" s="22" t="n"/>
      <c r="H40" s="23">
        <f>IF($A40="","",IFERROR(SUMPRODUCT(('[1]عهد ومصروفات دمياط'!$H$8:$H$5007=$A40)*('[1]عهد ومصروفات دمياط'!$S$8:$S$5007=2)*'[1]عهد ومصروفات دمياط'!$T$8:$T$5007),0))</f>
        <v/>
      </c>
      <c r="I40" s="24">
        <f>IF($A40="","",N(G40)-N(H40))</f>
        <v/>
      </c>
      <c r="J40" s="22" t="n"/>
      <c r="K40" s="23">
        <f>IF($A40="","",IFERROR(SUMPRODUCT(('[1]عهد ومصروفات دمياط'!$H$8:$H$5007=$A40)*('[1]عهد ومصروفات دمياط'!$S$8:$S$5007=3)*'[1]عهد ومصروفات دمياط'!$T$8:$T$5007),0))</f>
        <v/>
      </c>
      <c r="L40" s="24">
        <f>IF($A40="","",N(J40)-N(K40))</f>
        <v/>
      </c>
      <c r="M40" s="22" t="n"/>
      <c r="N40" s="23">
        <f>IF($A40="","",IFERROR(SUMPRODUCT(('[1]عهد ومصروفات دمياط'!$H$8:$H$5007=$A40)*('[1]عهد ومصروفات دمياط'!$S$8:$S$5007=4)*'[1]عهد ومصروفات دمياط'!$T$8:$T$5007),0))</f>
        <v/>
      </c>
      <c r="O40" s="24">
        <f>IF($A40="","",N(M40)-N(N40))</f>
        <v/>
      </c>
      <c r="P40" s="22" t="n"/>
      <c r="Q40" s="23">
        <f>IF($A40="","",IFERROR(SUMPRODUCT(('[1]عهد ومصروفات دمياط'!$H$8:$H$5007=$A40)*('[1]عهد ومصروفات دمياط'!$S$8:$S$5007=5)*'[1]عهد ومصروفات دمياط'!$T$8:$T$5007),0))</f>
        <v/>
      </c>
      <c r="R40" s="24">
        <f>IF($A40="","",N(P40)-N(Q40))</f>
        <v/>
      </c>
      <c r="S40" s="22" t="n"/>
      <c r="T40" s="23">
        <f>IF($A40="","",IFERROR(SUMPRODUCT(('[1]عهد ومصروفات دمياط'!$H$8:$H$5007=$A40)*('[1]عهد ومصروفات دمياط'!$S$8:$S$5007=6)*'[1]عهد ومصروفات دمياط'!$T$8:$T$5007),0))</f>
        <v/>
      </c>
      <c r="U40" s="24">
        <f>IF($A40="","",N(S40)-N(T40))</f>
        <v/>
      </c>
      <c r="V40" s="22" t="n"/>
      <c r="W40" s="23">
        <f>IF($A40="","",IFERROR(SUMPRODUCT(('[1]عهد ومصروفات دمياط'!$H$8:$H$5007=$A40)*('[1]عهد ومصروفات دمياط'!$S$8:$S$5007=7)*'[1]عهد ومصروفات دمياط'!$T$8:$T$5007),0))</f>
        <v/>
      </c>
      <c r="X40" s="24">
        <f>IF($A40="","",N(V40)-N(W40))</f>
        <v/>
      </c>
      <c r="Y40" s="22" t="n"/>
      <c r="Z40" s="23">
        <f>IF($A40="","",IFERROR(SUMPRODUCT(('[1]عهد ومصروفات دمياط'!$H$8:$H$5007=$A40)*('[1]عهد ومصروفات دمياط'!$S$8:$S$5007=8)*'[1]عهد ومصروفات دمياط'!$T$8:$T$5007),0))</f>
        <v/>
      </c>
      <c r="AA40" s="24">
        <f>IF($A40="","",N(Y40)-N(Z40))</f>
        <v/>
      </c>
      <c r="AB40" s="22" t="n"/>
      <c r="AC40" s="23">
        <f>IF($A40="","",IFERROR(SUMPRODUCT(('[1]عهد ومصروفات دمياط'!$H$8:$H$5007=$A40)*('[1]عهد ومصروفات دمياط'!$S$8:$S$5007=9)*'[1]عهد ومصروفات دمياط'!$T$8:$T$5007),0))</f>
        <v/>
      </c>
      <c r="AD40" s="24">
        <f>IF($A40="","",N(AB40)-N(AC40))</f>
        <v/>
      </c>
      <c r="AE40" s="22" t="n"/>
      <c r="AF40" s="23">
        <f>IF($A40="","",IFERROR(SUMPRODUCT(('[1]عهد ومصروفات دمياط'!$H$8:$H$5007=$A40)*('[1]عهد ومصروفات دمياط'!$S$8:$S$5007=10)*'[1]عهد ومصروفات دمياط'!$T$8:$T$5007),0))</f>
        <v/>
      </c>
      <c r="AG40" s="24">
        <f>IF($A40="","",N(AE40)-N(AF40))</f>
        <v/>
      </c>
      <c r="AH40" s="22" t="n"/>
      <c r="AI40" s="23">
        <f>IF($A40="","",IFERROR(SUMPRODUCT(('[1]عهد ومصروفات دمياط'!$H$8:$H$5007=$A40)*('[1]عهد ومصروفات دمياط'!$S$8:$S$5007=11)*'[1]عهد ومصروفات دمياط'!$T$8:$T$5007),0))</f>
        <v/>
      </c>
      <c r="AJ40" s="24">
        <f>IF($A40="","",N(AH40)-N(AI40))</f>
        <v/>
      </c>
      <c r="AK40" s="22" t="n"/>
      <c r="AL40" s="23">
        <f>IF($A40="","",IFERROR(SUMPRODUCT(('[1]عهد ومصروفات دمياط'!$H$8:$H$5007=$A40)*('[1]عهد ومصروفات دمياط'!$S$8:$S$5007=12)*'[1]عهد ومصروفات دمياط'!$T$8:$T$5007),0))</f>
        <v/>
      </c>
      <c r="AM40" s="24">
        <f>IF($A40="","",N(AK40)-N(AL40))</f>
        <v/>
      </c>
      <c r="AN40" s="25">
        <f>IF(A40="","",N(D40)+N(G40)+N(J40)+N(M40)+N(P40)+N(S40)+N(V40)+N(Y40)+N(AB40)+N(AE40)+N(AH40)+N(AK40))</f>
        <v/>
      </c>
      <c r="AO40" s="25">
        <f>IF(A40="","",N(E40)+N(H40)+N(K40)+N(N40)+N(Q40)+N(T40)+N(W40)+N(Z40)+N(AC40)+N(AF40)+N(AI40)+N(AL40))</f>
        <v/>
      </c>
      <c r="AP40" s="26">
        <f>IF(A40="","",N(B40)-AO40)</f>
        <v/>
      </c>
      <c r="AQ40">
        <f>IF(A40="",0,(N(F40)&lt;0)+(N(I40)&lt;0)+(N(L40)&lt;0)+(N(O40)&lt;0)+(N(R40)&lt;0)+(N(U40)&lt;0)+(N(X40)&lt;0)+(N(AA40)&lt;0)+(N(AD40)&lt;0)+(N(AG40)&lt;0)+(N(AJ40)&lt;0)+(N(AM40)&lt;0))</f>
        <v/>
      </c>
      <c r="AR40">
        <f>IF(A40="",0,MAX(0,-N(F40))+MAX(0,-N(I40))+MAX(0,-N(L40))+MAX(0,-N(O40))+MAX(0,-N(R40))+MAX(0,-N(U40))+MAX(0,-N(X40))+MAX(0,-N(AA40))+MAX(0,-N(AD40))+MAX(0,-N(AG40))+MAX(0,-N(AJ40))+MAX(0,-N(AM40)))</f>
        <v/>
      </c>
      <c r="AS40">
        <f>IF(A40="",0,IF(OR(N(AP40)&lt;0,AQ40&gt;0),1,0))</f>
        <v/>
      </c>
      <c r="AT40">
        <f>AT39+AS40</f>
        <v/>
      </c>
      <c r="AU40">
        <f>IF(A40="",-1,N(AO40)+ROW()/10000000)</f>
        <v/>
      </c>
    </row>
    <row r="41">
      <c r="A41" s="19" t="n"/>
      <c r="B41" s="20" t="n"/>
      <c r="C41" s="21">
        <f>IF(A41="","",N(B41)/12)</f>
        <v/>
      </c>
      <c r="D41" s="22" t="n"/>
      <c r="E41" s="23">
        <f>IF($A41="","",IFERROR(SUMPRODUCT(('[1]عهد ومصروفات دمياط'!$H$8:$H$5007=$A41)*('[1]عهد ومصروفات دمياط'!$S$8:$S$5007=1)*'[1]عهد ومصروفات دمياط'!$T$8:$T$5007),0))</f>
        <v/>
      </c>
      <c r="F41" s="24">
        <f>IF($A41="","",N(D41)-N(E41))</f>
        <v/>
      </c>
      <c r="G41" s="22" t="n"/>
      <c r="H41" s="23">
        <f>IF($A41="","",IFERROR(SUMPRODUCT(('[1]عهد ومصروفات دمياط'!$H$8:$H$5007=$A41)*('[1]عهد ومصروفات دمياط'!$S$8:$S$5007=2)*'[1]عهد ومصروفات دمياط'!$T$8:$T$5007),0))</f>
        <v/>
      </c>
      <c r="I41" s="24">
        <f>IF($A41="","",N(G41)-N(H41))</f>
        <v/>
      </c>
      <c r="J41" s="22" t="n"/>
      <c r="K41" s="23">
        <f>IF($A41="","",IFERROR(SUMPRODUCT(('[1]عهد ومصروفات دمياط'!$H$8:$H$5007=$A41)*('[1]عهد ومصروفات دمياط'!$S$8:$S$5007=3)*'[1]عهد ومصروفات دمياط'!$T$8:$T$5007),0))</f>
        <v/>
      </c>
      <c r="L41" s="24">
        <f>IF($A41="","",N(J41)-N(K41))</f>
        <v/>
      </c>
      <c r="M41" s="22" t="n"/>
      <c r="N41" s="23">
        <f>IF($A41="","",IFERROR(SUMPRODUCT(('[1]عهد ومصروفات دمياط'!$H$8:$H$5007=$A41)*('[1]عهد ومصروفات دمياط'!$S$8:$S$5007=4)*'[1]عهد ومصروفات دمياط'!$T$8:$T$5007),0))</f>
        <v/>
      </c>
      <c r="O41" s="24">
        <f>IF($A41="","",N(M41)-N(N41))</f>
        <v/>
      </c>
      <c r="P41" s="22" t="n"/>
      <c r="Q41" s="23">
        <f>IF($A41="","",IFERROR(SUMPRODUCT(('[1]عهد ومصروفات دمياط'!$H$8:$H$5007=$A41)*('[1]عهد ومصروفات دمياط'!$S$8:$S$5007=5)*'[1]عهد ومصروفات دمياط'!$T$8:$T$5007),0))</f>
        <v/>
      </c>
      <c r="R41" s="24">
        <f>IF($A41="","",N(P41)-N(Q41))</f>
        <v/>
      </c>
      <c r="S41" s="22" t="n"/>
      <c r="T41" s="23">
        <f>IF($A41="","",IFERROR(SUMPRODUCT(('[1]عهد ومصروفات دمياط'!$H$8:$H$5007=$A41)*('[1]عهد ومصروفات دمياط'!$S$8:$S$5007=6)*'[1]عهد ومصروفات دمياط'!$T$8:$T$5007),0))</f>
        <v/>
      </c>
      <c r="U41" s="24">
        <f>IF($A41="","",N(S41)-N(T41))</f>
        <v/>
      </c>
      <c r="V41" s="22" t="n"/>
      <c r="W41" s="23">
        <f>IF($A41="","",IFERROR(SUMPRODUCT(('[1]عهد ومصروفات دمياط'!$H$8:$H$5007=$A41)*('[1]عهد ومصروفات دمياط'!$S$8:$S$5007=7)*'[1]عهد ومصروفات دمياط'!$T$8:$T$5007),0))</f>
        <v/>
      </c>
      <c r="X41" s="24">
        <f>IF($A41="","",N(V41)-N(W41))</f>
        <v/>
      </c>
      <c r="Y41" s="22" t="n"/>
      <c r="Z41" s="23">
        <f>IF($A41="","",IFERROR(SUMPRODUCT(('[1]عهد ومصروفات دمياط'!$H$8:$H$5007=$A41)*('[1]عهد ومصروفات دمياط'!$S$8:$S$5007=8)*'[1]عهد ومصروفات دمياط'!$T$8:$T$5007),0))</f>
        <v/>
      </c>
      <c r="AA41" s="24">
        <f>IF($A41="","",N(Y41)-N(Z41))</f>
        <v/>
      </c>
      <c r="AB41" s="22" t="n"/>
      <c r="AC41" s="23">
        <f>IF($A41="","",IFERROR(SUMPRODUCT(('[1]عهد ومصروفات دمياط'!$H$8:$H$5007=$A41)*('[1]عهد ومصروفات دمياط'!$S$8:$S$5007=9)*'[1]عهد ومصروفات دمياط'!$T$8:$T$5007),0))</f>
        <v/>
      </c>
      <c r="AD41" s="24">
        <f>IF($A41="","",N(AB41)-N(AC41))</f>
        <v/>
      </c>
      <c r="AE41" s="22" t="n"/>
      <c r="AF41" s="23">
        <f>IF($A41="","",IFERROR(SUMPRODUCT(('[1]عهد ومصروفات دمياط'!$H$8:$H$5007=$A41)*('[1]عهد ومصروفات دمياط'!$S$8:$S$5007=10)*'[1]عهد ومصروفات دمياط'!$T$8:$T$5007),0))</f>
        <v/>
      </c>
      <c r="AG41" s="24">
        <f>IF($A41="","",N(AE41)-N(AF41))</f>
        <v/>
      </c>
      <c r="AH41" s="22" t="n"/>
      <c r="AI41" s="23">
        <f>IF($A41="","",IFERROR(SUMPRODUCT(('[1]عهد ومصروفات دمياط'!$H$8:$H$5007=$A41)*('[1]عهد ومصروفات دمياط'!$S$8:$S$5007=11)*'[1]عهد ومصروفات دمياط'!$T$8:$T$5007),0))</f>
        <v/>
      </c>
      <c r="AJ41" s="24">
        <f>IF($A41="","",N(AH41)-N(AI41))</f>
        <v/>
      </c>
      <c r="AK41" s="22" t="n"/>
      <c r="AL41" s="23">
        <f>IF($A41="","",IFERROR(SUMPRODUCT(('[1]عهد ومصروفات دمياط'!$H$8:$H$5007=$A41)*('[1]عهد ومصروفات دمياط'!$S$8:$S$5007=12)*'[1]عهد ومصروفات دمياط'!$T$8:$T$5007),0))</f>
        <v/>
      </c>
      <c r="AM41" s="24">
        <f>IF($A41="","",N(AK41)-N(AL41))</f>
        <v/>
      </c>
      <c r="AN41" s="25">
        <f>IF(A41="","",N(D41)+N(G41)+N(J41)+N(M41)+N(P41)+N(S41)+N(V41)+N(Y41)+N(AB41)+N(AE41)+N(AH41)+N(AK41))</f>
        <v/>
      </c>
      <c r="AO41" s="25">
        <f>IF(A41="","",N(E41)+N(H41)+N(K41)+N(N41)+N(Q41)+N(T41)+N(W41)+N(Z41)+N(AC41)+N(AF41)+N(AI41)+N(AL41))</f>
        <v/>
      </c>
      <c r="AP41" s="26">
        <f>IF(A41="","",N(B41)-AO41)</f>
        <v/>
      </c>
      <c r="AQ41">
        <f>IF(A41="",0,(N(F41)&lt;0)+(N(I41)&lt;0)+(N(L41)&lt;0)+(N(O41)&lt;0)+(N(R41)&lt;0)+(N(U41)&lt;0)+(N(X41)&lt;0)+(N(AA41)&lt;0)+(N(AD41)&lt;0)+(N(AG41)&lt;0)+(N(AJ41)&lt;0)+(N(AM41)&lt;0))</f>
        <v/>
      </c>
      <c r="AR41">
        <f>IF(A41="",0,MAX(0,-N(F41))+MAX(0,-N(I41))+MAX(0,-N(L41))+MAX(0,-N(O41))+MAX(0,-N(R41))+MAX(0,-N(U41))+MAX(0,-N(X41))+MAX(0,-N(AA41))+MAX(0,-N(AD41))+MAX(0,-N(AG41))+MAX(0,-N(AJ41))+MAX(0,-N(AM41)))</f>
        <v/>
      </c>
      <c r="AS41">
        <f>IF(A41="",0,IF(OR(N(AP41)&lt;0,AQ41&gt;0),1,0))</f>
        <v/>
      </c>
      <c r="AT41">
        <f>AT40+AS41</f>
        <v/>
      </c>
      <c r="AU41">
        <f>IF(A41="",-1,N(AO41)+ROW()/10000000)</f>
        <v/>
      </c>
    </row>
    <row r="42">
      <c r="A42" s="19" t="n"/>
      <c r="B42" s="20" t="n"/>
      <c r="C42" s="21">
        <f>IF(A42="","",N(B42)/12)</f>
        <v/>
      </c>
      <c r="D42" s="22" t="n"/>
      <c r="E42" s="23">
        <f>IF($A42="","",IFERROR(SUMPRODUCT(('[1]عهد ومصروفات دمياط'!$H$8:$H$5007=$A42)*('[1]عهد ومصروفات دمياط'!$S$8:$S$5007=1)*'[1]عهد ومصروفات دمياط'!$T$8:$T$5007),0))</f>
        <v/>
      </c>
      <c r="F42" s="24">
        <f>IF($A42="","",N(D42)-N(E42))</f>
        <v/>
      </c>
      <c r="G42" s="22" t="n"/>
      <c r="H42" s="23">
        <f>IF($A42="","",IFERROR(SUMPRODUCT(('[1]عهد ومصروفات دمياط'!$H$8:$H$5007=$A42)*('[1]عهد ومصروفات دمياط'!$S$8:$S$5007=2)*'[1]عهد ومصروفات دمياط'!$T$8:$T$5007),0))</f>
        <v/>
      </c>
      <c r="I42" s="24">
        <f>IF($A42="","",N(G42)-N(H42))</f>
        <v/>
      </c>
      <c r="J42" s="22" t="n"/>
      <c r="K42" s="23">
        <f>IF($A42="","",IFERROR(SUMPRODUCT(('[1]عهد ومصروفات دمياط'!$H$8:$H$5007=$A42)*('[1]عهد ومصروفات دمياط'!$S$8:$S$5007=3)*'[1]عهد ومصروفات دمياط'!$T$8:$T$5007),0))</f>
        <v/>
      </c>
      <c r="L42" s="24">
        <f>IF($A42="","",N(J42)-N(K42))</f>
        <v/>
      </c>
      <c r="M42" s="22" t="n"/>
      <c r="N42" s="23">
        <f>IF($A42="","",IFERROR(SUMPRODUCT(('[1]عهد ومصروفات دمياط'!$H$8:$H$5007=$A42)*('[1]عهد ومصروفات دمياط'!$S$8:$S$5007=4)*'[1]عهد ومصروفات دمياط'!$T$8:$T$5007),0))</f>
        <v/>
      </c>
      <c r="O42" s="24">
        <f>IF($A42="","",N(M42)-N(N42))</f>
        <v/>
      </c>
      <c r="P42" s="22" t="n"/>
      <c r="Q42" s="23">
        <f>IF($A42="","",IFERROR(SUMPRODUCT(('[1]عهد ومصروفات دمياط'!$H$8:$H$5007=$A42)*('[1]عهد ومصروفات دمياط'!$S$8:$S$5007=5)*'[1]عهد ومصروفات دمياط'!$T$8:$T$5007),0))</f>
        <v/>
      </c>
      <c r="R42" s="24">
        <f>IF($A42="","",N(P42)-N(Q42))</f>
        <v/>
      </c>
      <c r="S42" s="22" t="n"/>
      <c r="T42" s="23">
        <f>IF($A42="","",IFERROR(SUMPRODUCT(('[1]عهد ومصروفات دمياط'!$H$8:$H$5007=$A42)*('[1]عهد ومصروفات دمياط'!$S$8:$S$5007=6)*'[1]عهد ومصروفات دمياط'!$T$8:$T$5007),0))</f>
        <v/>
      </c>
      <c r="U42" s="24">
        <f>IF($A42="","",N(S42)-N(T42))</f>
        <v/>
      </c>
      <c r="V42" s="22" t="n"/>
      <c r="W42" s="23">
        <f>IF($A42="","",IFERROR(SUMPRODUCT(('[1]عهد ومصروفات دمياط'!$H$8:$H$5007=$A42)*('[1]عهد ومصروفات دمياط'!$S$8:$S$5007=7)*'[1]عهد ومصروفات دمياط'!$T$8:$T$5007),0))</f>
        <v/>
      </c>
      <c r="X42" s="24">
        <f>IF($A42="","",N(V42)-N(W42))</f>
        <v/>
      </c>
      <c r="Y42" s="22" t="n"/>
      <c r="Z42" s="23">
        <f>IF($A42="","",IFERROR(SUMPRODUCT(('[1]عهد ومصروفات دمياط'!$H$8:$H$5007=$A42)*('[1]عهد ومصروفات دمياط'!$S$8:$S$5007=8)*'[1]عهد ومصروفات دمياط'!$T$8:$T$5007),0))</f>
        <v/>
      </c>
      <c r="AA42" s="24">
        <f>IF($A42="","",N(Y42)-N(Z42))</f>
        <v/>
      </c>
      <c r="AB42" s="22" t="n"/>
      <c r="AC42" s="23">
        <f>IF($A42="","",IFERROR(SUMPRODUCT(('[1]عهد ومصروفات دمياط'!$H$8:$H$5007=$A42)*('[1]عهد ومصروفات دمياط'!$S$8:$S$5007=9)*'[1]عهد ومصروفات دمياط'!$T$8:$T$5007),0))</f>
        <v/>
      </c>
      <c r="AD42" s="24">
        <f>IF($A42="","",N(AB42)-N(AC42))</f>
        <v/>
      </c>
      <c r="AE42" s="22" t="n"/>
      <c r="AF42" s="23">
        <f>IF($A42="","",IFERROR(SUMPRODUCT(('[1]عهد ومصروفات دمياط'!$H$8:$H$5007=$A42)*('[1]عهد ومصروفات دمياط'!$S$8:$S$5007=10)*'[1]عهد ومصروفات دمياط'!$T$8:$T$5007),0))</f>
        <v/>
      </c>
      <c r="AG42" s="24">
        <f>IF($A42="","",N(AE42)-N(AF42))</f>
        <v/>
      </c>
      <c r="AH42" s="22" t="n"/>
      <c r="AI42" s="23">
        <f>IF($A42="","",IFERROR(SUMPRODUCT(('[1]عهد ومصروفات دمياط'!$H$8:$H$5007=$A42)*('[1]عهد ومصروفات دمياط'!$S$8:$S$5007=11)*'[1]عهد ومصروفات دمياط'!$T$8:$T$5007),0))</f>
        <v/>
      </c>
      <c r="AJ42" s="24">
        <f>IF($A42="","",N(AH42)-N(AI42))</f>
        <v/>
      </c>
      <c r="AK42" s="22" t="n"/>
      <c r="AL42" s="23">
        <f>IF($A42="","",IFERROR(SUMPRODUCT(('[1]عهد ومصروفات دمياط'!$H$8:$H$5007=$A42)*('[1]عهد ومصروفات دمياط'!$S$8:$S$5007=12)*'[1]عهد ومصروفات دمياط'!$T$8:$T$5007),0))</f>
        <v/>
      </c>
      <c r="AM42" s="24">
        <f>IF($A42="","",N(AK42)-N(AL42))</f>
        <v/>
      </c>
      <c r="AN42" s="25">
        <f>IF(A42="","",N(D42)+N(G42)+N(J42)+N(M42)+N(P42)+N(S42)+N(V42)+N(Y42)+N(AB42)+N(AE42)+N(AH42)+N(AK42))</f>
        <v/>
      </c>
      <c r="AO42" s="25">
        <f>IF(A42="","",N(E42)+N(H42)+N(K42)+N(N42)+N(Q42)+N(T42)+N(W42)+N(Z42)+N(AC42)+N(AF42)+N(AI42)+N(AL42))</f>
        <v/>
      </c>
      <c r="AP42" s="26">
        <f>IF(A42="","",N(B42)-AO42)</f>
        <v/>
      </c>
      <c r="AQ42">
        <f>IF(A42="",0,(N(F42)&lt;0)+(N(I42)&lt;0)+(N(L42)&lt;0)+(N(O42)&lt;0)+(N(R42)&lt;0)+(N(U42)&lt;0)+(N(X42)&lt;0)+(N(AA42)&lt;0)+(N(AD42)&lt;0)+(N(AG42)&lt;0)+(N(AJ42)&lt;0)+(N(AM42)&lt;0))</f>
        <v/>
      </c>
      <c r="AR42">
        <f>IF(A42="",0,MAX(0,-N(F42))+MAX(0,-N(I42))+MAX(0,-N(L42))+MAX(0,-N(O42))+MAX(0,-N(R42))+MAX(0,-N(U42))+MAX(0,-N(X42))+MAX(0,-N(AA42))+MAX(0,-N(AD42))+MAX(0,-N(AG42))+MAX(0,-N(AJ42))+MAX(0,-N(AM42)))</f>
        <v/>
      </c>
      <c r="AS42">
        <f>IF(A42="",0,IF(OR(N(AP42)&lt;0,AQ42&gt;0),1,0))</f>
        <v/>
      </c>
      <c r="AT42">
        <f>AT41+AS42</f>
        <v/>
      </c>
      <c r="AU42">
        <f>IF(A42="",-1,N(AO42)+ROW()/10000000)</f>
        <v/>
      </c>
    </row>
    <row r="43">
      <c r="A43" s="19" t="n"/>
      <c r="B43" s="20" t="n"/>
      <c r="C43" s="21">
        <f>IF(A43="","",N(B43)/12)</f>
        <v/>
      </c>
      <c r="D43" s="22" t="n"/>
      <c r="E43" s="23">
        <f>IF($A43="","",IFERROR(SUMPRODUCT(('[1]عهد ومصروفات دمياط'!$H$8:$H$5007=$A43)*('[1]عهد ومصروفات دمياط'!$S$8:$S$5007=1)*'[1]عهد ومصروفات دمياط'!$T$8:$T$5007),0))</f>
        <v/>
      </c>
      <c r="F43" s="24">
        <f>IF($A43="","",N(D43)-N(E43))</f>
        <v/>
      </c>
      <c r="G43" s="22" t="n"/>
      <c r="H43" s="23">
        <f>IF($A43="","",IFERROR(SUMPRODUCT(('[1]عهد ومصروفات دمياط'!$H$8:$H$5007=$A43)*('[1]عهد ومصروفات دمياط'!$S$8:$S$5007=2)*'[1]عهد ومصروفات دمياط'!$T$8:$T$5007),0))</f>
        <v/>
      </c>
      <c r="I43" s="24">
        <f>IF($A43="","",N(G43)-N(H43))</f>
        <v/>
      </c>
      <c r="J43" s="22" t="n"/>
      <c r="K43" s="23">
        <f>IF($A43="","",IFERROR(SUMPRODUCT(('[1]عهد ومصروفات دمياط'!$H$8:$H$5007=$A43)*('[1]عهد ومصروفات دمياط'!$S$8:$S$5007=3)*'[1]عهد ومصروفات دمياط'!$T$8:$T$5007),0))</f>
        <v/>
      </c>
      <c r="L43" s="24">
        <f>IF($A43="","",N(J43)-N(K43))</f>
        <v/>
      </c>
      <c r="M43" s="22" t="n"/>
      <c r="N43" s="23">
        <f>IF($A43="","",IFERROR(SUMPRODUCT(('[1]عهد ومصروفات دمياط'!$H$8:$H$5007=$A43)*('[1]عهد ومصروفات دمياط'!$S$8:$S$5007=4)*'[1]عهد ومصروفات دمياط'!$T$8:$T$5007),0))</f>
        <v/>
      </c>
      <c r="O43" s="24">
        <f>IF($A43="","",N(M43)-N(N43))</f>
        <v/>
      </c>
      <c r="P43" s="22" t="n"/>
      <c r="Q43" s="23">
        <f>IF($A43="","",IFERROR(SUMPRODUCT(('[1]عهد ومصروفات دمياط'!$H$8:$H$5007=$A43)*('[1]عهد ومصروفات دمياط'!$S$8:$S$5007=5)*'[1]عهد ومصروفات دمياط'!$T$8:$T$5007),0))</f>
        <v/>
      </c>
      <c r="R43" s="24">
        <f>IF($A43="","",N(P43)-N(Q43))</f>
        <v/>
      </c>
      <c r="S43" s="22" t="n"/>
      <c r="T43" s="23">
        <f>IF($A43="","",IFERROR(SUMPRODUCT(('[1]عهد ومصروفات دمياط'!$H$8:$H$5007=$A43)*('[1]عهد ومصروفات دمياط'!$S$8:$S$5007=6)*'[1]عهد ومصروفات دمياط'!$T$8:$T$5007),0))</f>
        <v/>
      </c>
      <c r="U43" s="24">
        <f>IF($A43="","",N(S43)-N(T43))</f>
        <v/>
      </c>
      <c r="V43" s="22" t="n"/>
      <c r="W43" s="23">
        <f>IF($A43="","",IFERROR(SUMPRODUCT(('[1]عهد ومصروفات دمياط'!$H$8:$H$5007=$A43)*('[1]عهد ومصروفات دمياط'!$S$8:$S$5007=7)*'[1]عهد ومصروفات دمياط'!$T$8:$T$5007),0))</f>
        <v/>
      </c>
      <c r="X43" s="24">
        <f>IF($A43="","",N(V43)-N(W43))</f>
        <v/>
      </c>
      <c r="Y43" s="22" t="n"/>
      <c r="Z43" s="23">
        <f>IF($A43="","",IFERROR(SUMPRODUCT(('[1]عهد ومصروفات دمياط'!$H$8:$H$5007=$A43)*('[1]عهد ومصروفات دمياط'!$S$8:$S$5007=8)*'[1]عهد ومصروفات دمياط'!$T$8:$T$5007),0))</f>
        <v/>
      </c>
      <c r="AA43" s="24">
        <f>IF($A43="","",N(Y43)-N(Z43))</f>
        <v/>
      </c>
      <c r="AB43" s="22" t="n"/>
      <c r="AC43" s="23">
        <f>IF($A43="","",IFERROR(SUMPRODUCT(('[1]عهد ومصروفات دمياط'!$H$8:$H$5007=$A43)*('[1]عهد ومصروفات دمياط'!$S$8:$S$5007=9)*'[1]عهد ومصروفات دمياط'!$T$8:$T$5007),0))</f>
        <v/>
      </c>
      <c r="AD43" s="24">
        <f>IF($A43="","",N(AB43)-N(AC43))</f>
        <v/>
      </c>
      <c r="AE43" s="22" t="n"/>
      <c r="AF43" s="23">
        <f>IF($A43="","",IFERROR(SUMPRODUCT(('[1]عهد ومصروفات دمياط'!$H$8:$H$5007=$A43)*('[1]عهد ومصروفات دمياط'!$S$8:$S$5007=10)*'[1]عهد ومصروفات دمياط'!$T$8:$T$5007),0))</f>
        <v/>
      </c>
      <c r="AG43" s="24">
        <f>IF($A43="","",N(AE43)-N(AF43))</f>
        <v/>
      </c>
      <c r="AH43" s="22" t="n"/>
      <c r="AI43" s="23">
        <f>IF($A43="","",IFERROR(SUMPRODUCT(('[1]عهد ومصروفات دمياط'!$H$8:$H$5007=$A43)*('[1]عهد ومصروفات دمياط'!$S$8:$S$5007=11)*'[1]عهد ومصروفات دمياط'!$T$8:$T$5007),0))</f>
        <v/>
      </c>
      <c r="AJ43" s="24">
        <f>IF($A43="","",N(AH43)-N(AI43))</f>
        <v/>
      </c>
      <c r="AK43" s="22" t="n"/>
      <c r="AL43" s="23">
        <f>IF($A43="","",IFERROR(SUMPRODUCT(('[1]عهد ومصروفات دمياط'!$H$8:$H$5007=$A43)*('[1]عهد ومصروفات دمياط'!$S$8:$S$5007=12)*'[1]عهد ومصروفات دمياط'!$T$8:$T$5007),0))</f>
        <v/>
      </c>
      <c r="AM43" s="24">
        <f>IF($A43="","",N(AK43)-N(AL43))</f>
        <v/>
      </c>
      <c r="AN43" s="25">
        <f>IF(A43="","",N(D43)+N(G43)+N(J43)+N(M43)+N(P43)+N(S43)+N(V43)+N(Y43)+N(AB43)+N(AE43)+N(AH43)+N(AK43))</f>
        <v/>
      </c>
      <c r="AO43" s="25">
        <f>IF(A43="","",N(E43)+N(H43)+N(K43)+N(N43)+N(Q43)+N(T43)+N(W43)+N(Z43)+N(AC43)+N(AF43)+N(AI43)+N(AL43))</f>
        <v/>
      </c>
      <c r="AP43" s="26">
        <f>IF(A43="","",N(B43)-AO43)</f>
        <v/>
      </c>
      <c r="AQ43">
        <f>IF(A43="",0,(N(F43)&lt;0)+(N(I43)&lt;0)+(N(L43)&lt;0)+(N(O43)&lt;0)+(N(R43)&lt;0)+(N(U43)&lt;0)+(N(X43)&lt;0)+(N(AA43)&lt;0)+(N(AD43)&lt;0)+(N(AG43)&lt;0)+(N(AJ43)&lt;0)+(N(AM43)&lt;0))</f>
        <v/>
      </c>
      <c r="AR43">
        <f>IF(A43="",0,MAX(0,-N(F43))+MAX(0,-N(I43))+MAX(0,-N(L43))+MAX(0,-N(O43))+MAX(0,-N(R43))+MAX(0,-N(U43))+MAX(0,-N(X43))+MAX(0,-N(AA43))+MAX(0,-N(AD43))+MAX(0,-N(AG43))+MAX(0,-N(AJ43))+MAX(0,-N(AM43)))</f>
        <v/>
      </c>
      <c r="AS43">
        <f>IF(A43="",0,IF(OR(N(AP43)&lt;0,AQ43&gt;0),1,0))</f>
        <v/>
      </c>
      <c r="AT43">
        <f>AT42+AS43</f>
        <v/>
      </c>
      <c r="AU43">
        <f>IF(A43="",-1,N(AO43)+ROW()/10000000)</f>
        <v/>
      </c>
    </row>
    <row r="44">
      <c r="A44" s="19" t="n"/>
      <c r="B44" s="20" t="n"/>
      <c r="C44" s="21">
        <f>IF(A44="","",N(B44)/12)</f>
        <v/>
      </c>
      <c r="D44" s="22" t="n"/>
      <c r="E44" s="23">
        <f>IF($A44="","",IFERROR(SUMPRODUCT(('[1]عهد ومصروفات دمياط'!$H$8:$H$5007=$A44)*('[1]عهد ومصروفات دمياط'!$S$8:$S$5007=1)*'[1]عهد ومصروفات دمياط'!$T$8:$T$5007),0))</f>
        <v/>
      </c>
      <c r="F44" s="24">
        <f>IF($A44="","",N(D44)-N(E44))</f>
        <v/>
      </c>
      <c r="G44" s="22" t="n"/>
      <c r="H44" s="23">
        <f>IF($A44="","",IFERROR(SUMPRODUCT(('[1]عهد ومصروفات دمياط'!$H$8:$H$5007=$A44)*('[1]عهد ومصروفات دمياط'!$S$8:$S$5007=2)*'[1]عهد ومصروفات دمياط'!$T$8:$T$5007),0))</f>
        <v/>
      </c>
      <c r="I44" s="24">
        <f>IF($A44="","",N(G44)-N(H44))</f>
        <v/>
      </c>
      <c r="J44" s="22" t="n"/>
      <c r="K44" s="23">
        <f>IF($A44="","",IFERROR(SUMPRODUCT(('[1]عهد ومصروفات دمياط'!$H$8:$H$5007=$A44)*('[1]عهد ومصروفات دمياط'!$S$8:$S$5007=3)*'[1]عهد ومصروفات دمياط'!$T$8:$T$5007),0))</f>
        <v/>
      </c>
      <c r="L44" s="24">
        <f>IF($A44="","",N(J44)-N(K44))</f>
        <v/>
      </c>
      <c r="M44" s="22" t="n"/>
      <c r="N44" s="23">
        <f>IF($A44="","",IFERROR(SUMPRODUCT(('[1]عهد ومصروفات دمياط'!$H$8:$H$5007=$A44)*('[1]عهد ومصروفات دمياط'!$S$8:$S$5007=4)*'[1]عهد ومصروفات دمياط'!$T$8:$T$5007),0))</f>
        <v/>
      </c>
      <c r="O44" s="24">
        <f>IF($A44="","",N(M44)-N(N44))</f>
        <v/>
      </c>
      <c r="P44" s="22" t="n"/>
      <c r="Q44" s="23">
        <f>IF($A44="","",IFERROR(SUMPRODUCT(('[1]عهد ومصروفات دمياط'!$H$8:$H$5007=$A44)*('[1]عهد ومصروفات دمياط'!$S$8:$S$5007=5)*'[1]عهد ومصروفات دمياط'!$T$8:$T$5007),0))</f>
        <v/>
      </c>
      <c r="R44" s="24">
        <f>IF($A44="","",N(P44)-N(Q44))</f>
        <v/>
      </c>
      <c r="S44" s="22" t="n"/>
      <c r="T44" s="23">
        <f>IF($A44="","",IFERROR(SUMPRODUCT(('[1]عهد ومصروفات دمياط'!$H$8:$H$5007=$A44)*('[1]عهد ومصروفات دمياط'!$S$8:$S$5007=6)*'[1]عهد ومصروفات دمياط'!$T$8:$T$5007),0))</f>
        <v/>
      </c>
      <c r="U44" s="24">
        <f>IF($A44="","",N(S44)-N(T44))</f>
        <v/>
      </c>
      <c r="V44" s="22" t="n"/>
      <c r="W44" s="23">
        <f>IF($A44="","",IFERROR(SUMPRODUCT(('[1]عهد ومصروفات دمياط'!$H$8:$H$5007=$A44)*('[1]عهد ومصروفات دمياط'!$S$8:$S$5007=7)*'[1]عهد ومصروفات دمياط'!$T$8:$T$5007),0))</f>
        <v/>
      </c>
      <c r="X44" s="24">
        <f>IF($A44="","",N(V44)-N(W44))</f>
        <v/>
      </c>
      <c r="Y44" s="22" t="n"/>
      <c r="Z44" s="23">
        <f>IF($A44="","",IFERROR(SUMPRODUCT(('[1]عهد ومصروفات دمياط'!$H$8:$H$5007=$A44)*('[1]عهد ومصروفات دمياط'!$S$8:$S$5007=8)*'[1]عهد ومصروفات دمياط'!$T$8:$T$5007),0))</f>
        <v/>
      </c>
      <c r="AA44" s="24">
        <f>IF($A44="","",N(Y44)-N(Z44))</f>
        <v/>
      </c>
      <c r="AB44" s="22" t="n"/>
      <c r="AC44" s="23">
        <f>IF($A44="","",IFERROR(SUMPRODUCT(('[1]عهد ومصروفات دمياط'!$H$8:$H$5007=$A44)*('[1]عهد ومصروفات دمياط'!$S$8:$S$5007=9)*'[1]عهد ومصروفات دمياط'!$T$8:$T$5007),0))</f>
        <v/>
      </c>
      <c r="AD44" s="24">
        <f>IF($A44="","",N(AB44)-N(AC44))</f>
        <v/>
      </c>
      <c r="AE44" s="22" t="n"/>
      <c r="AF44" s="23">
        <f>IF($A44="","",IFERROR(SUMPRODUCT(('[1]عهد ومصروفات دمياط'!$H$8:$H$5007=$A44)*('[1]عهد ومصروفات دمياط'!$S$8:$S$5007=10)*'[1]عهد ومصروفات دمياط'!$T$8:$T$5007),0))</f>
        <v/>
      </c>
      <c r="AG44" s="24">
        <f>IF($A44="","",N(AE44)-N(AF44))</f>
        <v/>
      </c>
      <c r="AH44" s="22" t="n"/>
      <c r="AI44" s="23">
        <f>IF($A44="","",IFERROR(SUMPRODUCT(('[1]عهد ومصروفات دمياط'!$H$8:$H$5007=$A44)*('[1]عهد ومصروفات دمياط'!$S$8:$S$5007=11)*'[1]عهد ومصروفات دمياط'!$T$8:$T$5007),0))</f>
        <v/>
      </c>
      <c r="AJ44" s="24">
        <f>IF($A44="","",N(AH44)-N(AI44))</f>
        <v/>
      </c>
      <c r="AK44" s="22" t="n"/>
      <c r="AL44" s="23">
        <f>IF($A44="","",IFERROR(SUMPRODUCT(('[1]عهد ومصروفات دمياط'!$H$8:$H$5007=$A44)*('[1]عهد ومصروفات دمياط'!$S$8:$S$5007=12)*'[1]عهد ومصروفات دمياط'!$T$8:$T$5007),0))</f>
        <v/>
      </c>
      <c r="AM44" s="24">
        <f>IF($A44="","",N(AK44)-N(AL44))</f>
        <v/>
      </c>
      <c r="AN44" s="25">
        <f>IF(A44="","",N(D44)+N(G44)+N(J44)+N(M44)+N(P44)+N(S44)+N(V44)+N(Y44)+N(AB44)+N(AE44)+N(AH44)+N(AK44))</f>
        <v/>
      </c>
      <c r="AO44" s="25">
        <f>IF(A44="","",N(E44)+N(H44)+N(K44)+N(N44)+N(Q44)+N(T44)+N(W44)+N(Z44)+N(AC44)+N(AF44)+N(AI44)+N(AL44))</f>
        <v/>
      </c>
      <c r="AP44" s="26">
        <f>IF(A44="","",N(B44)-AO44)</f>
        <v/>
      </c>
      <c r="AQ44">
        <f>IF(A44="",0,(N(F44)&lt;0)+(N(I44)&lt;0)+(N(L44)&lt;0)+(N(O44)&lt;0)+(N(R44)&lt;0)+(N(U44)&lt;0)+(N(X44)&lt;0)+(N(AA44)&lt;0)+(N(AD44)&lt;0)+(N(AG44)&lt;0)+(N(AJ44)&lt;0)+(N(AM44)&lt;0))</f>
        <v/>
      </c>
      <c r="AR44">
        <f>IF(A44="",0,MAX(0,-N(F44))+MAX(0,-N(I44))+MAX(0,-N(L44))+MAX(0,-N(O44))+MAX(0,-N(R44))+MAX(0,-N(U44))+MAX(0,-N(X44))+MAX(0,-N(AA44))+MAX(0,-N(AD44))+MAX(0,-N(AG44))+MAX(0,-N(AJ44))+MAX(0,-N(AM44)))</f>
        <v/>
      </c>
      <c r="AS44">
        <f>IF(A44="",0,IF(OR(N(AP44)&lt;0,AQ44&gt;0),1,0))</f>
        <v/>
      </c>
      <c r="AT44">
        <f>AT43+AS44</f>
        <v/>
      </c>
      <c r="AU44">
        <f>IF(A44="",-1,N(AO44)+ROW()/10000000)</f>
        <v/>
      </c>
    </row>
    <row r="45">
      <c r="A45" s="19" t="n"/>
      <c r="B45" s="20" t="n"/>
      <c r="C45" s="21">
        <f>IF(A45="","",N(B45)/12)</f>
        <v/>
      </c>
      <c r="D45" s="22" t="n"/>
      <c r="E45" s="23">
        <f>IF($A45="","",IFERROR(SUMPRODUCT(('[1]عهد ومصروفات دمياط'!$H$8:$H$5007=$A45)*('[1]عهد ومصروفات دمياط'!$S$8:$S$5007=1)*'[1]عهد ومصروفات دمياط'!$T$8:$T$5007),0))</f>
        <v/>
      </c>
      <c r="F45" s="24">
        <f>IF($A45="","",N(D45)-N(E45))</f>
        <v/>
      </c>
      <c r="G45" s="22" t="n"/>
      <c r="H45" s="23">
        <f>IF($A45="","",IFERROR(SUMPRODUCT(('[1]عهد ومصروفات دمياط'!$H$8:$H$5007=$A45)*('[1]عهد ومصروفات دمياط'!$S$8:$S$5007=2)*'[1]عهد ومصروفات دمياط'!$T$8:$T$5007),0))</f>
        <v/>
      </c>
      <c r="I45" s="24">
        <f>IF($A45="","",N(G45)-N(H45))</f>
        <v/>
      </c>
      <c r="J45" s="22" t="n"/>
      <c r="K45" s="23">
        <f>IF($A45="","",IFERROR(SUMPRODUCT(('[1]عهد ومصروفات دمياط'!$H$8:$H$5007=$A45)*('[1]عهد ومصروفات دمياط'!$S$8:$S$5007=3)*'[1]عهد ومصروفات دمياط'!$T$8:$T$5007),0))</f>
        <v/>
      </c>
      <c r="L45" s="24">
        <f>IF($A45="","",N(J45)-N(K45))</f>
        <v/>
      </c>
      <c r="M45" s="22" t="n"/>
      <c r="N45" s="23">
        <f>IF($A45="","",IFERROR(SUMPRODUCT(('[1]عهد ومصروفات دمياط'!$H$8:$H$5007=$A45)*('[1]عهد ومصروفات دمياط'!$S$8:$S$5007=4)*'[1]عهد ومصروفات دمياط'!$T$8:$T$5007),0))</f>
        <v/>
      </c>
      <c r="O45" s="24">
        <f>IF($A45="","",N(M45)-N(N45))</f>
        <v/>
      </c>
      <c r="P45" s="22" t="n"/>
      <c r="Q45" s="23">
        <f>IF($A45="","",IFERROR(SUMPRODUCT(('[1]عهد ومصروفات دمياط'!$H$8:$H$5007=$A45)*('[1]عهد ومصروفات دمياط'!$S$8:$S$5007=5)*'[1]عهد ومصروفات دمياط'!$T$8:$T$5007),0))</f>
        <v/>
      </c>
      <c r="R45" s="24">
        <f>IF($A45="","",N(P45)-N(Q45))</f>
        <v/>
      </c>
      <c r="S45" s="22" t="n"/>
      <c r="T45" s="23">
        <f>IF($A45="","",IFERROR(SUMPRODUCT(('[1]عهد ومصروفات دمياط'!$H$8:$H$5007=$A45)*('[1]عهد ومصروفات دمياط'!$S$8:$S$5007=6)*'[1]عهد ومصروفات دمياط'!$T$8:$T$5007),0))</f>
        <v/>
      </c>
      <c r="U45" s="24">
        <f>IF($A45="","",N(S45)-N(T45))</f>
        <v/>
      </c>
      <c r="V45" s="22" t="n"/>
      <c r="W45" s="23">
        <f>IF($A45="","",IFERROR(SUMPRODUCT(('[1]عهد ومصروفات دمياط'!$H$8:$H$5007=$A45)*('[1]عهد ومصروفات دمياط'!$S$8:$S$5007=7)*'[1]عهد ومصروفات دمياط'!$T$8:$T$5007),0))</f>
        <v/>
      </c>
      <c r="X45" s="24">
        <f>IF($A45="","",N(V45)-N(W45))</f>
        <v/>
      </c>
      <c r="Y45" s="22" t="n"/>
      <c r="Z45" s="23">
        <f>IF($A45="","",IFERROR(SUMPRODUCT(('[1]عهد ومصروفات دمياط'!$H$8:$H$5007=$A45)*('[1]عهد ومصروفات دمياط'!$S$8:$S$5007=8)*'[1]عهد ومصروفات دمياط'!$T$8:$T$5007),0))</f>
        <v/>
      </c>
      <c r="AA45" s="24">
        <f>IF($A45="","",N(Y45)-N(Z45))</f>
        <v/>
      </c>
      <c r="AB45" s="22" t="n"/>
      <c r="AC45" s="23">
        <f>IF($A45="","",IFERROR(SUMPRODUCT(('[1]عهد ومصروفات دمياط'!$H$8:$H$5007=$A45)*('[1]عهد ومصروفات دمياط'!$S$8:$S$5007=9)*'[1]عهد ومصروفات دمياط'!$T$8:$T$5007),0))</f>
        <v/>
      </c>
      <c r="AD45" s="24">
        <f>IF($A45="","",N(AB45)-N(AC45))</f>
        <v/>
      </c>
      <c r="AE45" s="22" t="n"/>
      <c r="AF45" s="23">
        <f>IF($A45="","",IFERROR(SUMPRODUCT(('[1]عهد ومصروفات دمياط'!$H$8:$H$5007=$A45)*('[1]عهد ومصروفات دمياط'!$S$8:$S$5007=10)*'[1]عهد ومصروفات دمياط'!$T$8:$T$5007),0))</f>
        <v/>
      </c>
      <c r="AG45" s="24">
        <f>IF($A45="","",N(AE45)-N(AF45))</f>
        <v/>
      </c>
      <c r="AH45" s="22" t="n"/>
      <c r="AI45" s="23">
        <f>IF($A45="","",IFERROR(SUMPRODUCT(('[1]عهد ومصروفات دمياط'!$H$8:$H$5007=$A45)*('[1]عهد ومصروفات دمياط'!$S$8:$S$5007=11)*'[1]عهد ومصروفات دمياط'!$T$8:$T$5007),0))</f>
        <v/>
      </c>
      <c r="AJ45" s="24">
        <f>IF($A45="","",N(AH45)-N(AI45))</f>
        <v/>
      </c>
      <c r="AK45" s="22" t="n"/>
      <c r="AL45" s="23">
        <f>IF($A45="","",IFERROR(SUMPRODUCT(('[1]عهد ومصروفات دمياط'!$H$8:$H$5007=$A45)*('[1]عهد ومصروفات دمياط'!$S$8:$S$5007=12)*'[1]عهد ومصروفات دمياط'!$T$8:$T$5007),0))</f>
        <v/>
      </c>
      <c r="AM45" s="24">
        <f>IF($A45="","",N(AK45)-N(AL45))</f>
        <v/>
      </c>
      <c r="AN45" s="25">
        <f>IF(A45="","",N(D45)+N(G45)+N(J45)+N(M45)+N(P45)+N(S45)+N(V45)+N(Y45)+N(AB45)+N(AE45)+N(AH45)+N(AK45))</f>
        <v/>
      </c>
      <c r="AO45" s="25">
        <f>IF(A45="","",N(E45)+N(H45)+N(K45)+N(N45)+N(Q45)+N(T45)+N(W45)+N(Z45)+N(AC45)+N(AF45)+N(AI45)+N(AL45))</f>
        <v/>
      </c>
      <c r="AP45" s="26">
        <f>IF(A45="","",N(B45)-AO45)</f>
        <v/>
      </c>
      <c r="AQ45">
        <f>IF(A45="",0,(N(F45)&lt;0)+(N(I45)&lt;0)+(N(L45)&lt;0)+(N(O45)&lt;0)+(N(R45)&lt;0)+(N(U45)&lt;0)+(N(X45)&lt;0)+(N(AA45)&lt;0)+(N(AD45)&lt;0)+(N(AG45)&lt;0)+(N(AJ45)&lt;0)+(N(AM45)&lt;0))</f>
        <v/>
      </c>
      <c r="AR45">
        <f>IF(A45="",0,MAX(0,-N(F45))+MAX(0,-N(I45))+MAX(0,-N(L45))+MAX(0,-N(O45))+MAX(0,-N(R45))+MAX(0,-N(U45))+MAX(0,-N(X45))+MAX(0,-N(AA45))+MAX(0,-N(AD45))+MAX(0,-N(AG45))+MAX(0,-N(AJ45))+MAX(0,-N(AM45)))</f>
        <v/>
      </c>
      <c r="AS45">
        <f>IF(A45="",0,IF(OR(N(AP45)&lt;0,AQ45&gt;0),1,0))</f>
        <v/>
      </c>
      <c r="AT45">
        <f>AT44+AS45</f>
        <v/>
      </c>
      <c r="AU45">
        <f>IF(A45="",-1,N(AO45)+ROW()/10000000)</f>
        <v/>
      </c>
    </row>
    <row r="46">
      <c r="A46" s="19" t="n"/>
      <c r="B46" s="20" t="n"/>
      <c r="C46" s="21">
        <f>IF(A46="","",N(B46)/12)</f>
        <v/>
      </c>
      <c r="D46" s="22" t="n"/>
      <c r="E46" s="23">
        <f>IF($A46="","",IFERROR(SUMPRODUCT(('[1]عهد ومصروفات دمياط'!$H$8:$H$5007=$A46)*('[1]عهد ومصروفات دمياط'!$S$8:$S$5007=1)*'[1]عهد ومصروفات دمياط'!$T$8:$T$5007),0))</f>
        <v/>
      </c>
      <c r="F46" s="24">
        <f>IF($A46="","",N(D46)-N(E46))</f>
        <v/>
      </c>
      <c r="G46" s="22" t="n"/>
      <c r="H46" s="23">
        <f>IF($A46="","",IFERROR(SUMPRODUCT(('[1]عهد ومصروفات دمياط'!$H$8:$H$5007=$A46)*('[1]عهد ومصروفات دمياط'!$S$8:$S$5007=2)*'[1]عهد ومصروفات دمياط'!$T$8:$T$5007),0))</f>
        <v/>
      </c>
      <c r="I46" s="24">
        <f>IF($A46="","",N(G46)-N(H46))</f>
        <v/>
      </c>
      <c r="J46" s="22" t="n"/>
      <c r="K46" s="23">
        <f>IF($A46="","",IFERROR(SUMPRODUCT(('[1]عهد ومصروفات دمياط'!$H$8:$H$5007=$A46)*('[1]عهد ومصروفات دمياط'!$S$8:$S$5007=3)*'[1]عهد ومصروفات دمياط'!$T$8:$T$5007),0))</f>
        <v/>
      </c>
      <c r="L46" s="24">
        <f>IF($A46="","",N(J46)-N(K46))</f>
        <v/>
      </c>
      <c r="M46" s="22" t="n"/>
      <c r="N46" s="23">
        <f>IF($A46="","",IFERROR(SUMPRODUCT(('[1]عهد ومصروفات دمياط'!$H$8:$H$5007=$A46)*('[1]عهد ومصروفات دمياط'!$S$8:$S$5007=4)*'[1]عهد ومصروفات دمياط'!$T$8:$T$5007),0))</f>
        <v/>
      </c>
      <c r="O46" s="24">
        <f>IF($A46="","",N(M46)-N(N46))</f>
        <v/>
      </c>
      <c r="P46" s="22" t="n"/>
      <c r="Q46" s="23">
        <f>IF($A46="","",IFERROR(SUMPRODUCT(('[1]عهد ومصروفات دمياط'!$H$8:$H$5007=$A46)*('[1]عهد ومصروفات دمياط'!$S$8:$S$5007=5)*'[1]عهد ومصروفات دمياط'!$T$8:$T$5007),0))</f>
        <v/>
      </c>
      <c r="R46" s="24">
        <f>IF($A46="","",N(P46)-N(Q46))</f>
        <v/>
      </c>
      <c r="S46" s="22" t="n"/>
      <c r="T46" s="23">
        <f>IF($A46="","",IFERROR(SUMPRODUCT(('[1]عهد ومصروفات دمياط'!$H$8:$H$5007=$A46)*('[1]عهد ومصروفات دمياط'!$S$8:$S$5007=6)*'[1]عهد ومصروفات دمياط'!$T$8:$T$5007),0))</f>
        <v/>
      </c>
      <c r="U46" s="24">
        <f>IF($A46="","",N(S46)-N(T46))</f>
        <v/>
      </c>
      <c r="V46" s="22" t="n"/>
      <c r="W46" s="23">
        <f>IF($A46="","",IFERROR(SUMPRODUCT(('[1]عهد ومصروفات دمياط'!$H$8:$H$5007=$A46)*('[1]عهد ومصروفات دمياط'!$S$8:$S$5007=7)*'[1]عهد ومصروفات دمياط'!$T$8:$T$5007),0))</f>
        <v/>
      </c>
      <c r="X46" s="24">
        <f>IF($A46="","",N(V46)-N(W46))</f>
        <v/>
      </c>
      <c r="Y46" s="22" t="n"/>
      <c r="Z46" s="23">
        <f>IF($A46="","",IFERROR(SUMPRODUCT(('[1]عهد ومصروفات دمياط'!$H$8:$H$5007=$A46)*('[1]عهد ومصروفات دمياط'!$S$8:$S$5007=8)*'[1]عهد ومصروفات دمياط'!$T$8:$T$5007),0))</f>
        <v/>
      </c>
      <c r="AA46" s="24">
        <f>IF($A46="","",N(Y46)-N(Z46))</f>
        <v/>
      </c>
      <c r="AB46" s="22" t="n"/>
      <c r="AC46" s="23">
        <f>IF($A46="","",IFERROR(SUMPRODUCT(('[1]عهد ومصروفات دمياط'!$H$8:$H$5007=$A46)*('[1]عهد ومصروفات دمياط'!$S$8:$S$5007=9)*'[1]عهد ومصروفات دمياط'!$T$8:$T$5007),0))</f>
        <v/>
      </c>
      <c r="AD46" s="24">
        <f>IF($A46="","",N(AB46)-N(AC46))</f>
        <v/>
      </c>
      <c r="AE46" s="22" t="n"/>
      <c r="AF46" s="23">
        <f>IF($A46="","",IFERROR(SUMPRODUCT(('[1]عهد ومصروفات دمياط'!$H$8:$H$5007=$A46)*('[1]عهد ومصروفات دمياط'!$S$8:$S$5007=10)*'[1]عهد ومصروفات دمياط'!$T$8:$T$5007),0))</f>
        <v/>
      </c>
      <c r="AG46" s="24">
        <f>IF($A46="","",N(AE46)-N(AF46))</f>
        <v/>
      </c>
      <c r="AH46" s="22" t="n"/>
      <c r="AI46" s="23">
        <f>IF($A46="","",IFERROR(SUMPRODUCT(('[1]عهد ومصروفات دمياط'!$H$8:$H$5007=$A46)*('[1]عهد ومصروفات دمياط'!$S$8:$S$5007=11)*'[1]عهد ومصروفات دمياط'!$T$8:$T$5007),0))</f>
        <v/>
      </c>
      <c r="AJ46" s="24">
        <f>IF($A46="","",N(AH46)-N(AI46))</f>
        <v/>
      </c>
      <c r="AK46" s="22" t="n"/>
      <c r="AL46" s="23">
        <f>IF($A46="","",IFERROR(SUMPRODUCT(('[1]عهد ومصروفات دمياط'!$H$8:$H$5007=$A46)*('[1]عهد ومصروفات دمياط'!$S$8:$S$5007=12)*'[1]عهد ومصروفات دمياط'!$T$8:$T$5007),0))</f>
        <v/>
      </c>
      <c r="AM46" s="24">
        <f>IF($A46="","",N(AK46)-N(AL46))</f>
        <v/>
      </c>
      <c r="AN46" s="25">
        <f>IF(A46="","",N(D46)+N(G46)+N(J46)+N(M46)+N(P46)+N(S46)+N(V46)+N(Y46)+N(AB46)+N(AE46)+N(AH46)+N(AK46))</f>
        <v/>
      </c>
      <c r="AO46" s="25">
        <f>IF(A46="","",N(E46)+N(H46)+N(K46)+N(N46)+N(Q46)+N(T46)+N(W46)+N(Z46)+N(AC46)+N(AF46)+N(AI46)+N(AL46))</f>
        <v/>
      </c>
      <c r="AP46" s="26">
        <f>IF(A46="","",N(B46)-AO46)</f>
        <v/>
      </c>
      <c r="AQ46">
        <f>IF(A46="",0,(N(F46)&lt;0)+(N(I46)&lt;0)+(N(L46)&lt;0)+(N(O46)&lt;0)+(N(R46)&lt;0)+(N(U46)&lt;0)+(N(X46)&lt;0)+(N(AA46)&lt;0)+(N(AD46)&lt;0)+(N(AG46)&lt;0)+(N(AJ46)&lt;0)+(N(AM46)&lt;0))</f>
        <v/>
      </c>
      <c r="AR46">
        <f>IF(A46="",0,MAX(0,-N(F46))+MAX(0,-N(I46))+MAX(0,-N(L46))+MAX(0,-N(O46))+MAX(0,-N(R46))+MAX(0,-N(U46))+MAX(0,-N(X46))+MAX(0,-N(AA46))+MAX(0,-N(AD46))+MAX(0,-N(AG46))+MAX(0,-N(AJ46))+MAX(0,-N(AM46)))</f>
        <v/>
      </c>
      <c r="AS46">
        <f>IF(A46="",0,IF(OR(N(AP46)&lt;0,AQ46&gt;0),1,0))</f>
        <v/>
      </c>
      <c r="AT46">
        <f>AT45+AS46</f>
        <v/>
      </c>
      <c r="AU46">
        <f>IF(A46="",-1,N(AO46)+ROW()/10000000)</f>
        <v/>
      </c>
    </row>
    <row r="47">
      <c r="A47" s="19" t="n"/>
      <c r="B47" s="20" t="n"/>
      <c r="C47" s="21">
        <f>IF(A47="","",N(B47)/12)</f>
        <v/>
      </c>
      <c r="D47" s="22" t="n"/>
      <c r="E47" s="23">
        <f>IF($A47="","",IFERROR(SUMPRODUCT(('[1]عهد ومصروفات دمياط'!$H$8:$H$5007=$A47)*('[1]عهد ومصروفات دمياط'!$S$8:$S$5007=1)*'[1]عهد ومصروفات دمياط'!$T$8:$T$5007),0))</f>
        <v/>
      </c>
      <c r="F47" s="24">
        <f>IF($A47="","",N(D47)-N(E47))</f>
        <v/>
      </c>
      <c r="G47" s="22" t="n"/>
      <c r="H47" s="23">
        <f>IF($A47="","",IFERROR(SUMPRODUCT(('[1]عهد ومصروفات دمياط'!$H$8:$H$5007=$A47)*('[1]عهد ومصروفات دمياط'!$S$8:$S$5007=2)*'[1]عهد ومصروفات دمياط'!$T$8:$T$5007),0))</f>
        <v/>
      </c>
      <c r="I47" s="24">
        <f>IF($A47="","",N(G47)-N(H47))</f>
        <v/>
      </c>
      <c r="J47" s="22" t="n"/>
      <c r="K47" s="23">
        <f>IF($A47="","",IFERROR(SUMPRODUCT(('[1]عهد ومصروفات دمياط'!$H$8:$H$5007=$A47)*('[1]عهد ومصروفات دمياط'!$S$8:$S$5007=3)*'[1]عهد ومصروفات دمياط'!$T$8:$T$5007),0))</f>
        <v/>
      </c>
      <c r="L47" s="24">
        <f>IF($A47="","",N(J47)-N(K47))</f>
        <v/>
      </c>
      <c r="M47" s="22" t="n"/>
      <c r="N47" s="23">
        <f>IF($A47="","",IFERROR(SUMPRODUCT(('[1]عهد ومصروفات دمياط'!$H$8:$H$5007=$A47)*('[1]عهد ومصروفات دمياط'!$S$8:$S$5007=4)*'[1]عهد ومصروفات دمياط'!$T$8:$T$5007),0))</f>
        <v/>
      </c>
      <c r="O47" s="24">
        <f>IF($A47="","",N(M47)-N(N47))</f>
        <v/>
      </c>
      <c r="P47" s="22" t="n"/>
      <c r="Q47" s="23">
        <f>IF($A47="","",IFERROR(SUMPRODUCT(('[1]عهد ومصروفات دمياط'!$H$8:$H$5007=$A47)*('[1]عهد ومصروفات دمياط'!$S$8:$S$5007=5)*'[1]عهد ومصروفات دمياط'!$T$8:$T$5007),0))</f>
        <v/>
      </c>
      <c r="R47" s="24">
        <f>IF($A47="","",N(P47)-N(Q47))</f>
        <v/>
      </c>
      <c r="S47" s="22" t="n"/>
      <c r="T47" s="23">
        <f>IF($A47="","",IFERROR(SUMPRODUCT(('[1]عهد ومصروفات دمياط'!$H$8:$H$5007=$A47)*('[1]عهد ومصروفات دمياط'!$S$8:$S$5007=6)*'[1]عهد ومصروفات دمياط'!$T$8:$T$5007),0))</f>
        <v/>
      </c>
      <c r="U47" s="24">
        <f>IF($A47="","",N(S47)-N(T47))</f>
        <v/>
      </c>
      <c r="V47" s="22" t="n"/>
      <c r="W47" s="23">
        <f>IF($A47="","",IFERROR(SUMPRODUCT(('[1]عهد ومصروفات دمياط'!$H$8:$H$5007=$A47)*('[1]عهد ومصروفات دمياط'!$S$8:$S$5007=7)*'[1]عهد ومصروفات دمياط'!$T$8:$T$5007),0))</f>
        <v/>
      </c>
      <c r="X47" s="24">
        <f>IF($A47="","",N(V47)-N(W47))</f>
        <v/>
      </c>
      <c r="Y47" s="22" t="n"/>
      <c r="Z47" s="23">
        <f>IF($A47="","",IFERROR(SUMPRODUCT(('[1]عهد ومصروفات دمياط'!$H$8:$H$5007=$A47)*('[1]عهد ومصروفات دمياط'!$S$8:$S$5007=8)*'[1]عهد ومصروفات دمياط'!$T$8:$T$5007),0))</f>
        <v/>
      </c>
      <c r="AA47" s="24">
        <f>IF($A47="","",N(Y47)-N(Z47))</f>
        <v/>
      </c>
      <c r="AB47" s="22" t="n"/>
      <c r="AC47" s="23">
        <f>IF($A47="","",IFERROR(SUMPRODUCT(('[1]عهد ومصروفات دمياط'!$H$8:$H$5007=$A47)*('[1]عهد ومصروفات دمياط'!$S$8:$S$5007=9)*'[1]عهد ومصروفات دمياط'!$T$8:$T$5007),0))</f>
        <v/>
      </c>
      <c r="AD47" s="24">
        <f>IF($A47="","",N(AB47)-N(AC47))</f>
        <v/>
      </c>
      <c r="AE47" s="22" t="n"/>
      <c r="AF47" s="23">
        <f>IF($A47="","",IFERROR(SUMPRODUCT(('[1]عهد ومصروفات دمياط'!$H$8:$H$5007=$A47)*('[1]عهد ومصروفات دمياط'!$S$8:$S$5007=10)*'[1]عهد ومصروفات دمياط'!$T$8:$T$5007),0))</f>
        <v/>
      </c>
      <c r="AG47" s="24">
        <f>IF($A47="","",N(AE47)-N(AF47))</f>
        <v/>
      </c>
      <c r="AH47" s="22" t="n"/>
      <c r="AI47" s="23">
        <f>IF($A47="","",IFERROR(SUMPRODUCT(('[1]عهد ومصروفات دمياط'!$H$8:$H$5007=$A47)*('[1]عهد ومصروفات دمياط'!$S$8:$S$5007=11)*'[1]عهد ومصروفات دمياط'!$T$8:$T$5007),0))</f>
        <v/>
      </c>
      <c r="AJ47" s="24">
        <f>IF($A47="","",N(AH47)-N(AI47))</f>
        <v/>
      </c>
      <c r="AK47" s="22" t="n"/>
      <c r="AL47" s="23">
        <f>IF($A47="","",IFERROR(SUMPRODUCT(('[1]عهد ومصروفات دمياط'!$H$8:$H$5007=$A47)*('[1]عهد ومصروفات دمياط'!$S$8:$S$5007=12)*'[1]عهد ومصروفات دمياط'!$T$8:$T$5007),0))</f>
        <v/>
      </c>
      <c r="AM47" s="24">
        <f>IF($A47="","",N(AK47)-N(AL47))</f>
        <v/>
      </c>
      <c r="AN47" s="25">
        <f>IF(A47="","",N(D47)+N(G47)+N(J47)+N(M47)+N(P47)+N(S47)+N(V47)+N(Y47)+N(AB47)+N(AE47)+N(AH47)+N(AK47))</f>
        <v/>
      </c>
      <c r="AO47" s="25">
        <f>IF(A47="","",N(E47)+N(H47)+N(K47)+N(N47)+N(Q47)+N(T47)+N(W47)+N(Z47)+N(AC47)+N(AF47)+N(AI47)+N(AL47))</f>
        <v/>
      </c>
      <c r="AP47" s="26">
        <f>IF(A47="","",N(B47)-AO47)</f>
        <v/>
      </c>
      <c r="AQ47">
        <f>IF(A47="",0,(N(F47)&lt;0)+(N(I47)&lt;0)+(N(L47)&lt;0)+(N(O47)&lt;0)+(N(R47)&lt;0)+(N(U47)&lt;0)+(N(X47)&lt;0)+(N(AA47)&lt;0)+(N(AD47)&lt;0)+(N(AG47)&lt;0)+(N(AJ47)&lt;0)+(N(AM47)&lt;0))</f>
        <v/>
      </c>
      <c r="AR47">
        <f>IF(A47="",0,MAX(0,-N(F47))+MAX(0,-N(I47))+MAX(0,-N(L47))+MAX(0,-N(O47))+MAX(0,-N(R47))+MAX(0,-N(U47))+MAX(0,-N(X47))+MAX(0,-N(AA47))+MAX(0,-N(AD47))+MAX(0,-N(AG47))+MAX(0,-N(AJ47))+MAX(0,-N(AM47)))</f>
        <v/>
      </c>
      <c r="AS47">
        <f>IF(A47="",0,IF(OR(N(AP47)&lt;0,AQ47&gt;0),1,0))</f>
        <v/>
      </c>
      <c r="AT47">
        <f>AT46+AS47</f>
        <v/>
      </c>
      <c r="AU47">
        <f>IF(A47="",-1,N(AO47)+ROW()/10000000)</f>
        <v/>
      </c>
    </row>
    <row r="48">
      <c r="A48" s="19" t="n"/>
      <c r="B48" s="20" t="n"/>
      <c r="C48" s="21">
        <f>IF(A48="","",N(B48)/12)</f>
        <v/>
      </c>
      <c r="D48" s="22" t="n"/>
      <c r="E48" s="23">
        <f>IF($A48="","",IFERROR(SUMPRODUCT(('[1]عهد ومصروفات دمياط'!$H$8:$H$5007=$A48)*('[1]عهد ومصروفات دمياط'!$S$8:$S$5007=1)*'[1]عهد ومصروفات دمياط'!$T$8:$T$5007),0))</f>
        <v/>
      </c>
      <c r="F48" s="24">
        <f>IF($A48="","",N(D48)-N(E48))</f>
        <v/>
      </c>
      <c r="G48" s="22" t="n"/>
      <c r="H48" s="23">
        <f>IF($A48="","",IFERROR(SUMPRODUCT(('[1]عهد ومصروفات دمياط'!$H$8:$H$5007=$A48)*('[1]عهد ومصروفات دمياط'!$S$8:$S$5007=2)*'[1]عهد ومصروفات دمياط'!$T$8:$T$5007),0))</f>
        <v/>
      </c>
      <c r="I48" s="24">
        <f>IF($A48="","",N(G48)-N(H48))</f>
        <v/>
      </c>
      <c r="J48" s="22" t="n"/>
      <c r="K48" s="23">
        <f>IF($A48="","",IFERROR(SUMPRODUCT(('[1]عهد ومصروفات دمياط'!$H$8:$H$5007=$A48)*('[1]عهد ومصروفات دمياط'!$S$8:$S$5007=3)*'[1]عهد ومصروفات دمياط'!$T$8:$T$5007),0))</f>
        <v/>
      </c>
      <c r="L48" s="24">
        <f>IF($A48="","",N(J48)-N(K48))</f>
        <v/>
      </c>
      <c r="M48" s="22" t="n"/>
      <c r="N48" s="23">
        <f>IF($A48="","",IFERROR(SUMPRODUCT(('[1]عهد ومصروفات دمياط'!$H$8:$H$5007=$A48)*('[1]عهد ومصروفات دمياط'!$S$8:$S$5007=4)*'[1]عهد ومصروفات دمياط'!$T$8:$T$5007),0))</f>
        <v/>
      </c>
      <c r="O48" s="24">
        <f>IF($A48="","",N(M48)-N(N48))</f>
        <v/>
      </c>
      <c r="P48" s="22" t="n"/>
      <c r="Q48" s="23">
        <f>IF($A48="","",IFERROR(SUMPRODUCT(('[1]عهد ومصروفات دمياط'!$H$8:$H$5007=$A48)*('[1]عهد ومصروفات دمياط'!$S$8:$S$5007=5)*'[1]عهد ومصروفات دمياط'!$T$8:$T$5007),0))</f>
        <v/>
      </c>
      <c r="R48" s="24">
        <f>IF($A48="","",N(P48)-N(Q48))</f>
        <v/>
      </c>
      <c r="S48" s="22" t="n"/>
      <c r="T48" s="23">
        <f>IF($A48="","",IFERROR(SUMPRODUCT(('[1]عهد ومصروفات دمياط'!$H$8:$H$5007=$A48)*('[1]عهد ومصروفات دمياط'!$S$8:$S$5007=6)*'[1]عهد ومصروفات دمياط'!$T$8:$T$5007),0))</f>
        <v/>
      </c>
      <c r="U48" s="24">
        <f>IF($A48="","",N(S48)-N(T48))</f>
        <v/>
      </c>
      <c r="V48" s="22" t="n"/>
      <c r="W48" s="23">
        <f>IF($A48="","",IFERROR(SUMPRODUCT(('[1]عهد ومصروفات دمياط'!$H$8:$H$5007=$A48)*('[1]عهد ومصروفات دمياط'!$S$8:$S$5007=7)*'[1]عهد ومصروفات دمياط'!$T$8:$T$5007),0))</f>
        <v/>
      </c>
      <c r="X48" s="24">
        <f>IF($A48="","",N(V48)-N(W48))</f>
        <v/>
      </c>
      <c r="Y48" s="22" t="n"/>
      <c r="Z48" s="23">
        <f>IF($A48="","",IFERROR(SUMPRODUCT(('[1]عهد ومصروفات دمياط'!$H$8:$H$5007=$A48)*('[1]عهد ومصروفات دمياط'!$S$8:$S$5007=8)*'[1]عهد ومصروفات دمياط'!$T$8:$T$5007),0))</f>
        <v/>
      </c>
      <c r="AA48" s="24">
        <f>IF($A48="","",N(Y48)-N(Z48))</f>
        <v/>
      </c>
      <c r="AB48" s="22" t="n"/>
      <c r="AC48" s="23">
        <f>IF($A48="","",IFERROR(SUMPRODUCT(('[1]عهد ومصروفات دمياط'!$H$8:$H$5007=$A48)*('[1]عهد ومصروفات دمياط'!$S$8:$S$5007=9)*'[1]عهد ومصروفات دمياط'!$T$8:$T$5007),0))</f>
        <v/>
      </c>
      <c r="AD48" s="24">
        <f>IF($A48="","",N(AB48)-N(AC48))</f>
        <v/>
      </c>
      <c r="AE48" s="22" t="n"/>
      <c r="AF48" s="23">
        <f>IF($A48="","",IFERROR(SUMPRODUCT(('[1]عهد ومصروفات دمياط'!$H$8:$H$5007=$A48)*('[1]عهد ومصروفات دمياط'!$S$8:$S$5007=10)*'[1]عهد ومصروفات دمياط'!$T$8:$T$5007),0))</f>
        <v/>
      </c>
      <c r="AG48" s="24">
        <f>IF($A48="","",N(AE48)-N(AF48))</f>
        <v/>
      </c>
      <c r="AH48" s="22" t="n"/>
      <c r="AI48" s="23">
        <f>IF($A48="","",IFERROR(SUMPRODUCT(('[1]عهد ومصروفات دمياط'!$H$8:$H$5007=$A48)*('[1]عهد ومصروفات دمياط'!$S$8:$S$5007=11)*'[1]عهد ومصروفات دمياط'!$T$8:$T$5007),0))</f>
        <v/>
      </c>
      <c r="AJ48" s="24">
        <f>IF($A48="","",N(AH48)-N(AI48))</f>
        <v/>
      </c>
      <c r="AK48" s="22" t="n"/>
      <c r="AL48" s="23">
        <f>IF($A48="","",IFERROR(SUMPRODUCT(('[1]عهد ومصروفات دمياط'!$H$8:$H$5007=$A48)*('[1]عهد ومصروفات دمياط'!$S$8:$S$5007=12)*'[1]عهد ومصروفات دمياط'!$T$8:$T$5007),0))</f>
        <v/>
      </c>
      <c r="AM48" s="24">
        <f>IF($A48="","",N(AK48)-N(AL48))</f>
        <v/>
      </c>
      <c r="AN48" s="25">
        <f>IF(A48="","",N(D48)+N(G48)+N(J48)+N(M48)+N(P48)+N(S48)+N(V48)+N(Y48)+N(AB48)+N(AE48)+N(AH48)+N(AK48))</f>
        <v/>
      </c>
      <c r="AO48" s="25">
        <f>IF(A48="","",N(E48)+N(H48)+N(K48)+N(N48)+N(Q48)+N(T48)+N(W48)+N(Z48)+N(AC48)+N(AF48)+N(AI48)+N(AL48))</f>
        <v/>
      </c>
      <c r="AP48" s="26">
        <f>IF(A48="","",N(B48)-AO48)</f>
        <v/>
      </c>
      <c r="AQ48">
        <f>IF(A48="",0,(N(F48)&lt;0)+(N(I48)&lt;0)+(N(L48)&lt;0)+(N(O48)&lt;0)+(N(R48)&lt;0)+(N(U48)&lt;0)+(N(X48)&lt;0)+(N(AA48)&lt;0)+(N(AD48)&lt;0)+(N(AG48)&lt;0)+(N(AJ48)&lt;0)+(N(AM48)&lt;0))</f>
        <v/>
      </c>
      <c r="AR48">
        <f>IF(A48="",0,MAX(0,-N(F48))+MAX(0,-N(I48))+MAX(0,-N(L48))+MAX(0,-N(O48))+MAX(0,-N(R48))+MAX(0,-N(U48))+MAX(0,-N(X48))+MAX(0,-N(AA48))+MAX(0,-N(AD48))+MAX(0,-N(AG48))+MAX(0,-N(AJ48))+MAX(0,-N(AM48)))</f>
        <v/>
      </c>
      <c r="AS48">
        <f>IF(A48="",0,IF(OR(N(AP48)&lt;0,AQ48&gt;0),1,0))</f>
        <v/>
      </c>
      <c r="AT48">
        <f>AT47+AS48</f>
        <v/>
      </c>
      <c r="AU48">
        <f>IF(A48="",-1,N(AO48)+ROW()/10000000)</f>
        <v/>
      </c>
    </row>
    <row r="49">
      <c r="A49" s="19" t="n"/>
      <c r="B49" s="20" t="n"/>
      <c r="C49" s="21">
        <f>IF(A49="","",N(B49)/12)</f>
        <v/>
      </c>
      <c r="D49" s="22" t="n"/>
      <c r="E49" s="23">
        <f>IF($A49="","",IFERROR(SUMPRODUCT(('[1]عهد ومصروفات دمياط'!$H$8:$H$5007=$A49)*('[1]عهد ومصروفات دمياط'!$S$8:$S$5007=1)*'[1]عهد ومصروفات دمياط'!$T$8:$T$5007),0))</f>
        <v/>
      </c>
      <c r="F49" s="24">
        <f>IF($A49="","",N(D49)-N(E49))</f>
        <v/>
      </c>
      <c r="G49" s="22" t="n"/>
      <c r="H49" s="23">
        <f>IF($A49="","",IFERROR(SUMPRODUCT(('[1]عهد ومصروفات دمياط'!$H$8:$H$5007=$A49)*('[1]عهد ومصروفات دمياط'!$S$8:$S$5007=2)*'[1]عهد ومصروفات دمياط'!$T$8:$T$5007),0))</f>
        <v/>
      </c>
      <c r="I49" s="24">
        <f>IF($A49="","",N(G49)-N(H49))</f>
        <v/>
      </c>
      <c r="J49" s="22" t="n"/>
      <c r="K49" s="23">
        <f>IF($A49="","",IFERROR(SUMPRODUCT(('[1]عهد ومصروفات دمياط'!$H$8:$H$5007=$A49)*('[1]عهد ومصروفات دمياط'!$S$8:$S$5007=3)*'[1]عهد ومصروفات دمياط'!$T$8:$T$5007),0))</f>
        <v/>
      </c>
      <c r="L49" s="24">
        <f>IF($A49="","",N(J49)-N(K49))</f>
        <v/>
      </c>
      <c r="M49" s="22" t="n"/>
      <c r="N49" s="23">
        <f>IF($A49="","",IFERROR(SUMPRODUCT(('[1]عهد ومصروفات دمياط'!$H$8:$H$5007=$A49)*('[1]عهد ومصروفات دمياط'!$S$8:$S$5007=4)*'[1]عهد ومصروفات دمياط'!$T$8:$T$5007),0))</f>
        <v/>
      </c>
      <c r="O49" s="24">
        <f>IF($A49="","",N(M49)-N(N49))</f>
        <v/>
      </c>
      <c r="P49" s="22" t="n"/>
      <c r="Q49" s="23">
        <f>IF($A49="","",IFERROR(SUMPRODUCT(('[1]عهد ومصروفات دمياط'!$H$8:$H$5007=$A49)*('[1]عهد ومصروفات دمياط'!$S$8:$S$5007=5)*'[1]عهد ومصروفات دمياط'!$T$8:$T$5007),0))</f>
        <v/>
      </c>
      <c r="R49" s="24">
        <f>IF($A49="","",N(P49)-N(Q49))</f>
        <v/>
      </c>
      <c r="S49" s="22" t="n"/>
      <c r="T49" s="23">
        <f>IF($A49="","",IFERROR(SUMPRODUCT(('[1]عهد ومصروفات دمياط'!$H$8:$H$5007=$A49)*('[1]عهد ومصروفات دمياط'!$S$8:$S$5007=6)*'[1]عهد ومصروفات دمياط'!$T$8:$T$5007),0))</f>
        <v/>
      </c>
      <c r="U49" s="24">
        <f>IF($A49="","",N(S49)-N(T49))</f>
        <v/>
      </c>
      <c r="V49" s="22" t="n"/>
      <c r="W49" s="23">
        <f>IF($A49="","",IFERROR(SUMPRODUCT(('[1]عهد ومصروفات دمياط'!$H$8:$H$5007=$A49)*('[1]عهد ومصروفات دمياط'!$S$8:$S$5007=7)*'[1]عهد ومصروفات دمياط'!$T$8:$T$5007),0))</f>
        <v/>
      </c>
      <c r="X49" s="24">
        <f>IF($A49="","",N(V49)-N(W49))</f>
        <v/>
      </c>
      <c r="Y49" s="22" t="n"/>
      <c r="Z49" s="23">
        <f>IF($A49="","",IFERROR(SUMPRODUCT(('[1]عهد ومصروفات دمياط'!$H$8:$H$5007=$A49)*('[1]عهد ومصروفات دمياط'!$S$8:$S$5007=8)*'[1]عهد ومصروفات دمياط'!$T$8:$T$5007),0))</f>
        <v/>
      </c>
      <c r="AA49" s="24">
        <f>IF($A49="","",N(Y49)-N(Z49))</f>
        <v/>
      </c>
      <c r="AB49" s="22" t="n"/>
      <c r="AC49" s="23">
        <f>IF($A49="","",IFERROR(SUMPRODUCT(('[1]عهد ومصروفات دمياط'!$H$8:$H$5007=$A49)*('[1]عهد ومصروفات دمياط'!$S$8:$S$5007=9)*'[1]عهد ومصروفات دمياط'!$T$8:$T$5007),0))</f>
        <v/>
      </c>
      <c r="AD49" s="24">
        <f>IF($A49="","",N(AB49)-N(AC49))</f>
        <v/>
      </c>
      <c r="AE49" s="22" t="n"/>
      <c r="AF49" s="23">
        <f>IF($A49="","",IFERROR(SUMPRODUCT(('[1]عهد ومصروفات دمياط'!$H$8:$H$5007=$A49)*('[1]عهد ومصروفات دمياط'!$S$8:$S$5007=10)*'[1]عهد ومصروفات دمياط'!$T$8:$T$5007),0))</f>
        <v/>
      </c>
      <c r="AG49" s="24">
        <f>IF($A49="","",N(AE49)-N(AF49))</f>
        <v/>
      </c>
      <c r="AH49" s="22" t="n"/>
      <c r="AI49" s="23">
        <f>IF($A49="","",IFERROR(SUMPRODUCT(('[1]عهد ومصروفات دمياط'!$H$8:$H$5007=$A49)*('[1]عهد ومصروفات دمياط'!$S$8:$S$5007=11)*'[1]عهد ومصروفات دمياط'!$T$8:$T$5007),0))</f>
        <v/>
      </c>
      <c r="AJ49" s="24">
        <f>IF($A49="","",N(AH49)-N(AI49))</f>
        <v/>
      </c>
      <c r="AK49" s="22" t="n"/>
      <c r="AL49" s="23">
        <f>IF($A49="","",IFERROR(SUMPRODUCT(('[1]عهد ومصروفات دمياط'!$H$8:$H$5007=$A49)*('[1]عهد ومصروفات دمياط'!$S$8:$S$5007=12)*'[1]عهد ومصروفات دمياط'!$T$8:$T$5007),0))</f>
        <v/>
      </c>
      <c r="AM49" s="24">
        <f>IF($A49="","",N(AK49)-N(AL49))</f>
        <v/>
      </c>
      <c r="AN49" s="25">
        <f>IF(A49="","",N(D49)+N(G49)+N(J49)+N(M49)+N(P49)+N(S49)+N(V49)+N(Y49)+N(AB49)+N(AE49)+N(AH49)+N(AK49))</f>
        <v/>
      </c>
      <c r="AO49" s="25">
        <f>IF(A49="","",N(E49)+N(H49)+N(K49)+N(N49)+N(Q49)+N(T49)+N(W49)+N(Z49)+N(AC49)+N(AF49)+N(AI49)+N(AL49))</f>
        <v/>
      </c>
      <c r="AP49" s="26">
        <f>IF(A49="","",N(B49)-AO49)</f>
        <v/>
      </c>
      <c r="AQ49">
        <f>IF(A49="",0,(N(F49)&lt;0)+(N(I49)&lt;0)+(N(L49)&lt;0)+(N(O49)&lt;0)+(N(R49)&lt;0)+(N(U49)&lt;0)+(N(X49)&lt;0)+(N(AA49)&lt;0)+(N(AD49)&lt;0)+(N(AG49)&lt;0)+(N(AJ49)&lt;0)+(N(AM49)&lt;0))</f>
        <v/>
      </c>
      <c r="AR49">
        <f>IF(A49="",0,MAX(0,-N(F49))+MAX(0,-N(I49))+MAX(0,-N(L49))+MAX(0,-N(O49))+MAX(0,-N(R49))+MAX(0,-N(U49))+MAX(0,-N(X49))+MAX(0,-N(AA49))+MAX(0,-N(AD49))+MAX(0,-N(AG49))+MAX(0,-N(AJ49))+MAX(0,-N(AM49)))</f>
        <v/>
      </c>
      <c r="AS49">
        <f>IF(A49="",0,IF(OR(N(AP49)&lt;0,AQ49&gt;0),1,0))</f>
        <v/>
      </c>
      <c r="AT49">
        <f>AT48+AS49</f>
        <v/>
      </c>
      <c r="AU49">
        <f>IF(A49="",-1,N(AO49)+ROW()/10000000)</f>
        <v/>
      </c>
    </row>
    <row r="50">
      <c r="A50" s="19" t="n"/>
      <c r="B50" s="20" t="n"/>
      <c r="C50" s="21">
        <f>IF(A50="","",N(B50)/12)</f>
        <v/>
      </c>
      <c r="D50" s="22" t="n"/>
      <c r="E50" s="23">
        <f>IF($A50="","",IFERROR(SUMPRODUCT(('[1]عهد ومصروفات دمياط'!$H$8:$H$5007=$A50)*('[1]عهد ومصروفات دمياط'!$S$8:$S$5007=1)*'[1]عهد ومصروفات دمياط'!$T$8:$T$5007),0))</f>
        <v/>
      </c>
      <c r="F50" s="24">
        <f>IF($A50="","",N(D50)-N(E50))</f>
        <v/>
      </c>
      <c r="G50" s="22" t="n"/>
      <c r="H50" s="23">
        <f>IF($A50="","",IFERROR(SUMPRODUCT(('[1]عهد ومصروفات دمياط'!$H$8:$H$5007=$A50)*('[1]عهد ومصروفات دمياط'!$S$8:$S$5007=2)*'[1]عهد ومصروفات دمياط'!$T$8:$T$5007),0))</f>
        <v/>
      </c>
      <c r="I50" s="24">
        <f>IF($A50="","",N(G50)-N(H50))</f>
        <v/>
      </c>
      <c r="J50" s="22" t="n"/>
      <c r="K50" s="23">
        <f>IF($A50="","",IFERROR(SUMPRODUCT(('[1]عهد ومصروفات دمياط'!$H$8:$H$5007=$A50)*('[1]عهد ومصروفات دمياط'!$S$8:$S$5007=3)*'[1]عهد ومصروفات دمياط'!$T$8:$T$5007),0))</f>
        <v/>
      </c>
      <c r="L50" s="24">
        <f>IF($A50="","",N(J50)-N(K50))</f>
        <v/>
      </c>
      <c r="M50" s="22" t="n"/>
      <c r="N50" s="23">
        <f>IF($A50="","",IFERROR(SUMPRODUCT(('[1]عهد ومصروفات دمياط'!$H$8:$H$5007=$A50)*('[1]عهد ومصروفات دمياط'!$S$8:$S$5007=4)*'[1]عهد ومصروفات دمياط'!$T$8:$T$5007),0))</f>
        <v/>
      </c>
      <c r="O50" s="24">
        <f>IF($A50="","",N(M50)-N(N50))</f>
        <v/>
      </c>
      <c r="P50" s="22" t="n"/>
      <c r="Q50" s="23">
        <f>IF($A50="","",IFERROR(SUMPRODUCT(('[1]عهد ومصروفات دمياط'!$H$8:$H$5007=$A50)*('[1]عهد ومصروفات دمياط'!$S$8:$S$5007=5)*'[1]عهد ومصروفات دمياط'!$T$8:$T$5007),0))</f>
        <v/>
      </c>
      <c r="R50" s="24">
        <f>IF($A50="","",N(P50)-N(Q50))</f>
        <v/>
      </c>
      <c r="S50" s="22" t="n"/>
      <c r="T50" s="23">
        <f>IF($A50="","",IFERROR(SUMPRODUCT(('[1]عهد ومصروفات دمياط'!$H$8:$H$5007=$A50)*('[1]عهد ومصروفات دمياط'!$S$8:$S$5007=6)*'[1]عهد ومصروفات دمياط'!$T$8:$T$5007),0))</f>
        <v/>
      </c>
      <c r="U50" s="24">
        <f>IF($A50="","",N(S50)-N(T50))</f>
        <v/>
      </c>
      <c r="V50" s="22" t="n"/>
      <c r="W50" s="23">
        <f>IF($A50="","",IFERROR(SUMPRODUCT(('[1]عهد ومصروفات دمياط'!$H$8:$H$5007=$A50)*('[1]عهد ومصروفات دمياط'!$S$8:$S$5007=7)*'[1]عهد ومصروفات دمياط'!$T$8:$T$5007),0))</f>
        <v/>
      </c>
      <c r="X50" s="24">
        <f>IF($A50="","",N(V50)-N(W50))</f>
        <v/>
      </c>
      <c r="Y50" s="22" t="n"/>
      <c r="Z50" s="23">
        <f>IF($A50="","",IFERROR(SUMPRODUCT(('[1]عهد ومصروفات دمياط'!$H$8:$H$5007=$A50)*('[1]عهد ومصروفات دمياط'!$S$8:$S$5007=8)*'[1]عهد ومصروفات دمياط'!$T$8:$T$5007),0))</f>
        <v/>
      </c>
      <c r="AA50" s="24">
        <f>IF($A50="","",N(Y50)-N(Z50))</f>
        <v/>
      </c>
      <c r="AB50" s="22" t="n"/>
      <c r="AC50" s="23">
        <f>IF($A50="","",IFERROR(SUMPRODUCT(('[1]عهد ومصروفات دمياط'!$H$8:$H$5007=$A50)*('[1]عهد ومصروفات دمياط'!$S$8:$S$5007=9)*'[1]عهد ومصروفات دمياط'!$T$8:$T$5007),0))</f>
        <v/>
      </c>
      <c r="AD50" s="24">
        <f>IF($A50="","",N(AB50)-N(AC50))</f>
        <v/>
      </c>
      <c r="AE50" s="22" t="n"/>
      <c r="AF50" s="23">
        <f>IF($A50="","",IFERROR(SUMPRODUCT(('[1]عهد ومصروفات دمياط'!$H$8:$H$5007=$A50)*('[1]عهد ومصروفات دمياط'!$S$8:$S$5007=10)*'[1]عهد ومصروفات دمياط'!$T$8:$T$5007),0))</f>
        <v/>
      </c>
      <c r="AG50" s="24">
        <f>IF($A50="","",N(AE50)-N(AF50))</f>
        <v/>
      </c>
      <c r="AH50" s="22" t="n"/>
      <c r="AI50" s="23">
        <f>IF($A50="","",IFERROR(SUMPRODUCT(('[1]عهد ومصروفات دمياط'!$H$8:$H$5007=$A50)*('[1]عهد ومصروفات دمياط'!$S$8:$S$5007=11)*'[1]عهد ومصروفات دمياط'!$T$8:$T$5007),0))</f>
        <v/>
      </c>
      <c r="AJ50" s="24">
        <f>IF($A50="","",N(AH50)-N(AI50))</f>
        <v/>
      </c>
      <c r="AK50" s="22" t="n"/>
      <c r="AL50" s="23">
        <f>IF($A50="","",IFERROR(SUMPRODUCT(('[1]عهد ومصروفات دمياط'!$H$8:$H$5007=$A50)*('[1]عهد ومصروفات دمياط'!$S$8:$S$5007=12)*'[1]عهد ومصروفات دمياط'!$T$8:$T$5007),0))</f>
        <v/>
      </c>
      <c r="AM50" s="24">
        <f>IF($A50="","",N(AK50)-N(AL50))</f>
        <v/>
      </c>
      <c r="AN50" s="25">
        <f>IF(A50="","",N(D50)+N(G50)+N(J50)+N(M50)+N(P50)+N(S50)+N(V50)+N(Y50)+N(AB50)+N(AE50)+N(AH50)+N(AK50))</f>
        <v/>
      </c>
      <c r="AO50" s="25">
        <f>IF(A50="","",N(E50)+N(H50)+N(K50)+N(N50)+N(Q50)+N(T50)+N(W50)+N(Z50)+N(AC50)+N(AF50)+N(AI50)+N(AL50))</f>
        <v/>
      </c>
      <c r="AP50" s="26">
        <f>IF(A50="","",N(B50)-AO50)</f>
        <v/>
      </c>
      <c r="AQ50">
        <f>IF(A50="",0,(N(F50)&lt;0)+(N(I50)&lt;0)+(N(L50)&lt;0)+(N(O50)&lt;0)+(N(R50)&lt;0)+(N(U50)&lt;0)+(N(X50)&lt;0)+(N(AA50)&lt;0)+(N(AD50)&lt;0)+(N(AG50)&lt;0)+(N(AJ50)&lt;0)+(N(AM50)&lt;0))</f>
        <v/>
      </c>
      <c r="AR50">
        <f>IF(A50="",0,MAX(0,-N(F50))+MAX(0,-N(I50))+MAX(0,-N(L50))+MAX(0,-N(O50))+MAX(0,-N(R50))+MAX(0,-N(U50))+MAX(0,-N(X50))+MAX(0,-N(AA50))+MAX(0,-N(AD50))+MAX(0,-N(AG50))+MAX(0,-N(AJ50))+MAX(0,-N(AM50)))</f>
        <v/>
      </c>
      <c r="AS50">
        <f>IF(A50="",0,IF(OR(N(AP50)&lt;0,AQ50&gt;0),1,0))</f>
        <v/>
      </c>
      <c r="AT50">
        <f>AT49+AS50</f>
        <v/>
      </c>
      <c r="AU50">
        <f>IF(A50="",-1,N(AO50)+ROW()/10000000)</f>
        <v/>
      </c>
    </row>
    <row r="51">
      <c r="A51" s="19" t="n"/>
      <c r="B51" s="20" t="n"/>
      <c r="C51" s="21">
        <f>IF(A51="","",N(B51)/12)</f>
        <v/>
      </c>
      <c r="D51" s="22" t="n"/>
      <c r="E51" s="23">
        <f>IF($A51="","",IFERROR(SUMPRODUCT(('[1]عهد ومصروفات دمياط'!$H$8:$H$5007=$A51)*('[1]عهد ومصروفات دمياط'!$S$8:$S$5007=1)*'[1]عهد ومصروفات دمياط'!$T$8:$T$5007),0))</f>
        <v/>
      </c>
      <c r="F51" s="24">
        <f>IF($A51="","",N(D51)-N(E51))</f>
        <v/>
      </c>
      <c r="G51" s="22" t="n"/>
      <c r="H51" s="23">
        <f>IF($A51="","",IFERROR(SUMPRODUCT(('[1]عهد ومصروفات دمياط'!$H$8:$H$5007=$A51)*('[1]عهد ومصروفات دمياط'!$S$8:$S$5007=2)*'[1]عهد ومصروفات دمياط'!$T$8:$T$5007),0))</f>
        <v/>
      </c>
      <c r="I51" s="24">
        <f>IF($A51="","",N(G51)-N(H51))</f>
        <v/>
      </c>
      <c r="J51" s="22" t="n"/>
      <c r="K51" s="23">
        <f>IF($A51="","",IFERROR(SUMPRODUCT(('[1]عهد ومصروفات دمياط'!$H$8:$H$5007=$A51)*('[1]عهد ومصروفات دمياط'!$S$8:$S$5007=3)*'[1]عهد ومصروفات دمياط'!$T$8:$T$5007),0))</f>
        <v/>
      </c>
      <c r="L51" s="24">
        <f>IF($A51="","",N(J51)-N(K51))</f>
        <v/>
      </c>
      <c r="M51" s="22" t="n"/>
      <c r="N51" s="23">
        <f>IF($A51="","",IFERROR(SUMPRODUCT(('[1]عهد ومصروفات دمياط'!$H$8:$H$5007=$A51)*('[1]عهد ومصروفات دمياط'!$S$8:$S$5007=4)*'[1]عهد ومصروفات دمياط'!$T$8:$T$5007),0))</f>
        <v/>
      </c>
      <c r="O51" s="24">
        <f>IF($A51="","",N(M51)-N(N51))</f>
        <v/>
      </c>
      <c r="P51" s="22" t="n"/>
      <c r="Q51" s="23">
        <f>IF($A51="","",IFERROR(SUMPRODUCT(('[1]عهد ومصروفات دمياط'!$H$8:$H$5007=$A51)*('[1]عهد ومصروفات دمياط'!$S$8:$S$5007=5)*'[1]عهد ومصروفات دمياط'!$T$8:$T$5007),0))</f>
        <v/>
      </c>
      <c r="R51" s="24">
        <f>IF($A51="","",N(P51)-N(Q51))</f>
        <v/>
      </c>
      <c r="S51" s="22" t="n"/>
      <c r="T51" s="23">
        <f>IF($A51="","",IFERROR(SUMPRODUCT(('[1]عهد ومصروفات دمياط'!$H$8:$H$5007=$A51)*('[1]عهد ومصروفات دمياط'!$S$8:$S$5007=6)*'[1]عهد ومصروفات دمياط'!$T$8:$T$5007),0))</f>
        <v/>
      </c>
      <c r="U51" s="24">
        <f>IF($A51="","",N(S51)-N(T51))</f>
        <v/>
      </c>
      <c r="V51" s="22" t="n"/>
      <c r="W51" s="23">
        <f>IF($A51="","",IFERROR(SUMPRODUCT(('[1]عهد ومصروفات دمياط'!$H$8:$H$5007=$A51)*('[1]عهد ومصروفات دمياط'!$S$8:$S$5007=7)*'[1]عهد ومصروفات دمياط'!$T$8:$T$5007),0))</f>
        <v/>
      </c>
      <c r="X51" s="24">
        <f>IF($A51="","",N(V51)-N(W51))</f>
        <v/>
      </c>
      <c r="Y51" s="22" t="n"/>
      <c r="Z51" s="23">
        <f>IF($A51="","",IFERROR(SUMPRODUCT(('[1]عهد ومصروفات دمياط'!$H$8:$H$5007=$A51)*('[1]عهد ومصروفات دمياط'!$S$8:$S$5007=8)*'[1]عهد ومصروفات دمياط'!$T$8:$T$5007),0))</f>
        <v/>
      </c>
      <c r="AA51" s="24">
        <f>IF($A51="","",N(Y51)-N(Z51))</f>
        <v/>
      </c>
      <c r="AB51" s="22" t="n"/>
      <c r="AC51" s="23">
        <f>IF($A51="","",IFERROR(SUMPRODUCT(('[1]عهد ومصروفات دمياط'!$H$8:$H$5007=$A51)*('[1]عهد ومصروفات دمياط'!$S$8:$S$5007=9)*'[1]عهد ومصروفات دمياط'!$T$8:$T$5007),0))</f>
        <v/>
      </c>
      <c r="AD51" s="24">
        <f>IF($A51="","",N(AB51)-N(AC51))</f>
        <v/>
      </c>
      <c r="AE51" s="22" t="n"/>
      <c r="AF51" s="23">
        <f>IF($A51="","",IFERROR(SUMPRODUCT(('[1]عهد ومصروفات دمياط'!$H$8:$H$5007=$A51)*('[1]عهد ومصروفات دمياط'!$S$8:$S$5007=10)*'[1]عهد ومصروفات دمياط'!$T$8:$T$5007),0))</f>
        <v/>
      </c>
      <c r="AG51" s="24">
        <f>IF($A51="","",N(AE51)-N(AF51))</f>
        <v/>
      </c>
      <c r="AH51" s="22" t="n"/>
      <c r="AI51" s="23">
        <f>IF($A51="","",IFERROR(SUMPRODUCT(('[1]عهد ومصروفات دمياط'!$H$8:$H$5007=$A51)*('[1]عهد ومصروفات دمياط'!$S$8:$S$5007=11)*'[1]عهد ومصروفات دمياط'!$T$8:$T$5007),0))</f>
        <v/>
      </c>
      <c r="AJ51" s="24">
        <f>IF($A51="","",N(AH51)-N(AI51))</f>
        <v/>
      </c>
      <c r="AK51" s="22" t="n"/>
      <c r="AL51" s="23">
        <f>IF($A51="","",IFERROR(SUMPRODUCT(('[1]عهد ومصروفات دمياط'!$H$8:$H$5007=$A51)*('[1]عهد ومصروفات دمياط'!$S$8:$S$5007=12)*'[1]عهد ومصروفات دمياط'!$T$8:$T$5007),0))</f>
        <v/>
      </c>
      <c r="AM51" s="24">
        <f>IF($A51="","",N(AK51)-N(AL51))</f>
        <v/>
      </c>
      <c r="AN51" s="25">
        <f>IF(A51="","",N(D51)+N(G51)+N(J51)+N(M51)+N(P51)+N(S51)+N(V51)+N(Y51)+N(AB51)+N(AE51)+N(AH51)+N(AK51))</f>
        <v/>
      </c>
      <c r="AO51" s="25">
        <f>IF(A51="","",N(E51)+N(H51)+N(K51)+N(N51)+N(Q51)+N(T51)+N(W51)+N(Z51)+N(AC51)+N(AF51)+N(AI51)+N(AL51))</f>
        <v/>
      </c>
      <c r="AP51" s="26">
        <f>IF(A51="","",N(B51)-AO51)</f>
        <v/>
      </c>
      <c r="AQ51">
        <f>IF(A51="",0,(N(F51)&lt;0)+(N(I51)&lt;0)+(N(L51)&lt;0)+(N(O51)&lt;0)+(N(R51)&lt;0)+(N(U51)&lt;0)+(N(X51)&lt;0)+(N(AA51)&lt;0)+(N(AD51)&lt;0)+(N(AG51)&lt;0)+(N(AJ51)&lt;0)+(N(AM51)&lt;0))</f>
        <v/>
      </c>
      <c r="AR51">
        <f>IF(A51="",0,MAX(0,-N(F51))+MAX(0,-N(I51))+MAX(0,-N(L51))+MAX(0,-N(O51))+MAX(0,-N(R51))+MAX(0,-N(U51))+MAX(0,-N(X51))+MAX(0,-N(AA51))+MAX(0,-N(AD51))+MAX(0,-N(AG51))+MAX(0,-N(AJ51))+MAX(0,-N(AM51)))</f>
        <v/>
      </c>
      <c r="AS51">
        <f>IF(A51="",0,IF(OR(N(AP51)&lt;0,AQ51&gt;0),1,0))</f>
        <v/>
      </c>
      <c r="AT51">
        <f>AT50+AS51</f>
        <v/>
      </c>
      <c r="AU51">
        <f>IF(A51="",-1,N(AO51)+ROW()/10000000)</f>
        <v/>
      </c>
    </row>
    <row r="52">
      <c r="A52" s="19" t="n"/>
      <c r="B52" s="20" t="n"/>
      <c r="C52" s="21">
        <f>IF(A52="","",N(B52)/12)</f>
        <v/>
      </c>
      <c r="D52" s="22" t="n"/>
      <c r="E52" s="23">
        <f>IF($A52="","",IFERROR(SUMPRODUCT(('[1]عهد ومصروفات دمياط'!$H$8:$H$5007=$A52)*('[1]عهد ومصروفات دمياط'!$S$8:$S$5007=1)*'[1]عهد ومصروفات دمياط'!$T$8:$T$5007),0))</f>
        <v/>
      </c>
      <c r="F52" s="24">
        <f>IF($A52="","",N(D52)-N(E52))</f>
        <v/>
      </c>
      <c r="G52" s="22" t="n"/>
      <c r="H52" s="23">
        <f>IF($A52="","",IFERROR(SUMPRODUCT(('[1]عهد ومصروفات دمياط'!$H$8:$H$5007=$A52)*('[1]عهد ومصروفات دمياط'!$S$8:$S$5007=2)*'[1]عهد ومصروفات دمياط'!$T$8:$T$5007),0))</f>
        <v/>
      </c>
      <c r="I52" s="24">
        <f>IF($A52="","",N(G52)-N(H52))</f>
        <v/>
      </c>
      <c r="J52" s="22" t="n"/>
      <c r="K52" s="23">
        <f>IF($A52="","",IFERROR(SUMPRODUCT(('[1]عهد ومصروفات دمياط'!$H$8:$H$5007=$A52)*('[1]عهد ومصروفات دمياط'!$S$8:$S$5007=3)*'[1]عهد ومصروفات دمياط'!$T$8:$T$5007),0))</f>
        <v/>
      </c>
      <c r="L52" s="24">
        <f>IF($A52="","",N(J52)-N(K52))</f>
        <v/>
      </c>
      <c r="M52" s="22" t="n"/>
      <c r="N52" s="23">
        <f>IF($A52="","",IFERROR(SUMPRODUCT(('[1]عهد ومصروفات دمياط'!$H$8:$H$5007=$A52)*('[1]عهد ومصروفات دمياط'!$S$8:$S$5007=4)*'[1]عهد ومصروفات دمياط'!$T$8:$T$5007),0))</f>
        <v/>
      </c>
      <c r="O52" s="24">
        <f>IF($A52="","",N(M52)-N(N52))</f>
        <v/>
      </c>
      <c r="P52" s="22" t="n"/>
      <c r="Q52" s="23">
        <f>IF($A52="","",IFERROR(SUMPRODUCT(('[1]عهد ومصروفات دمياط'!$H$8:$H$5007=$A52)*('[1]عهد ومصروفات دمياط'!$S$8:$S$5007=5)*'[1]عهد ومصروفات دمياط'!$T$8:$T$5007),0))</f>
        <v/>
      </c>
      <c r="R52" s="24">
        <f>IF($A52="","",N(P52)-N(Q52))</f>
        <v/>
      </c>
      <c r="S52" s="22" t="n"/>
      <c r="T52" s="23">
        <f>IF($A52="","",IFERROR(SUMPRODUCT(('[1]عهد ومصروفات دمياط'!$H$8:$H$5007=$A52)*('[1]عهد ومصروفات دمياط'!$S$8:$S$5007=6)*'[1]عهد ومصروفات دمياط'!$T$8:$T$5007),0))</f>
        <v/>
      </c>
      <c r="U52" s="24">
        <f>IF($A52="","",N(S52)-N(T52))</f>
        <v/>
      </c>
      <c r="V52" s="22" t="n"/>
      <c r="W52" s="23">
        <f>IF($A52="","",IFERROR(SUMPRODUCT(('[1]عهد ومصروفات دمياط'!$H$8:$H$5007=$A52)*('[1]عهد ومصروفات دمياط'!$S$8:$S$5007=7)*'[1]عهد ومصروفات دمياط'!$T$8:$T$5007),0))</f>
        <v/>
      </c>
      <c r="X52" s="24">
        <f>IF($A52="","",N(V52)-N(W52))</f>
        <v/>
      </c>
      <c r="Y52" s="22" t="n"/>
      <c r="Z52" s="23">
        <f>IF($A52="","",IFERROR(SUMPRODUCT(('[1]عهد ومصروفات دمياط'!$H$8:$H$5007=$A52)*('[1]عهد ومصروفات دمياط'!$S$8:$S$5007=8)*'[1]عهد ومصروفات دمياط'!$T$8:$T$5007),0))</f>
        <v/>
      </c>
      <c r="AA52" s="24">
        <f>IF($A52="","",N(Y52)-N(Z52))</f>
        <v/>
      </c>
      <c r="AB52" s="22" t="n"/>
      <c r="AC52" s="23">
        <f>IF($A52="","",IFERROR(SUMPRODUCT(('[1]عهد ومصروفات دمياط'!$H$8:$H$5007=$A52)*('[1]عهد ومصروفات دمياط'!$S$8:$S$5007=9)*'[1]عهد ومصروفات دمياط'!$T$8:$T$5007),0))</f>
        <v/>
      </c>
      <c r="AD52" s="24">
        <f>IF($A52="","",N(AB52)-N(AC52))</f>
        <v/>
      </c>
      <c r="AE52" s="22" t="n"/>
      <c r="AF52" s="23">
        <f>IF($A52="","",IFERROR(SUMPRODUCT(('[1]عهد ومصروفات دمياط'!$H$8:$H$5007=$A52)*('[1]عهد ومصروفات دمياط'!$S$8:$S$5007=10)*'[1]عهد ومصروفات دمياط'!$T$8:$T$5007),0))</f>
        <v/>
      </c>
      <c r="AG52" s="24">
        <f>IF($A52="","",N(AE52)-N(AF52))</f>
        <v/>
      </c>
      <c r="AH52" s="22" t="n"/>
      <c r="AI52" s="23">
        <f>IF($A52="","",IFERROR(SUMPRODUCT(('[1]عهد ومصروفات دمياط'!$H$8:$H$5007=$A52)*('[1]عهد ومصروفات دمياط'!$S$8:$S$5007=11)*'[1]عهد ومصروفات دمياط'!$T$8:$T$5007),0))</f>
        <v/>
      </c>
      <c r="AJ52" s="24">
        <f>IF($A52="","",N(AH52)-N(AI52))</f>
        <v/>
      </c>
      <c r="AK52" s="22" t="n"/>
      <c r="AL52" s="23">
        <f>IF($A52="","",IFERROR(SUMPRODUCT(('[1]عهد ومصروفات دمياط'!$H$8:$H$5007=$A52)*('[1]عهد ومصروفات دمياط'!$S$8:$S$5007=12)*'[1]عهد ومصروفات دمياط'!$T$8:$T$5007),0))</f>
        <v/>
      </c>
      <c r="AM52" s="24">
        <f>IF($A52="","",N(AK52)-N(AL52))</f>
        <v/>
      </c>
      <c r="AN52" s="25">
        <f>IF(A52="","",N(D52)+N(G52)+N(J52)+N(M52)+N(P52)+N(S52)+N(V52)+N(Y52)+N(AB52)+N(AE52)+N(AH52)+N(AK52))</f>
        <v/>
      </c>
      <c r="AO52" s="25">
        <f>IF(A52="","",N(E52)+N(H52)+N(K52)+N(N52)+N(Q52)+N(T52)+N(W52)+N(Z52)+N(AC52)+N(AF52)+N(AI52)+N(AL52))</f>
        <v/>
      </c>
      <c r="AP52" s="26">
        <f>IF(A52="","",N(B52)-AO52)</f>
        <v/>
      </c>
      <c r="AQ52">
        <f>IF(A52="",0,(N(F52)&lt;0)+(N(I52)&lt;0)+(N(L52)&lt;0)+(N(O52)&lt;0)+(N(R52)&lt;0)+(N(U52)&lt;0)+(N(X52)&lt;0)+(N(AA52)&lt;0)+(N(AD52)&lt;0)+(N(AG52)&lt;0)+(N(AJ52)&lt;0)+(N(AM52)&lt;0))</f>
        <v/>
      </c>
      <c r="AR52">
        <f>IF(A52="",0,MAX(0,-N(F52))+MAX(0,-N(I52))+MAX(0,-N(L52))+MAX(0,-N(O52))+MAX(0,-N(R52))+MAX(0,-N(U52))+MAX(0,-N(X52))+MAX(0,-N(AA52))+MAX(0,-N(AD52))+MAX(0,-N(AG52))+MAX(0,-N(AJ52))+MAX(0,-N(AM52)))</f>
        <v/>
      </c>
      <c r="AS52">
        <f>IF(A52="",0,IF(OR(N(AP52)&lt;0,AQ52&gt;0),1,0))</f>
        <v/>
      </c>
      <c r="AT52">
        <f>AT51+AS52</f>
        <v/>
      </c>
      <c r="AU52">
        <f>IF(A52="",-1,N(AO52)+ROW()/10000000)</f>
        <v/>
      </c>
    </row>
    <row r="53">
      <c r="A53" s="19" t="n"/>
      <c r="B53" s="20" t="n"/>
      <c r="C53" s="21">
        <f>IF(A53="","",N(B53)/12)</f>
        <v/>
      </c>
      <c r="D53" s="22" t="n"/>
      <c r="E53" s="23">
        <f>IF($A53="","",IFERROR(SUMPRODUCT(('[1]عهد ومصروفات دمياط'!$H$8:$H$5007=$A53)*('[1]عهد ومصروفات دمياط'!$S$8:$S$5007=1)*'[1]عهد ومصروفات دمياط'!$T$8:$T$5007),0))</f>
        <v/>
      </c>
      <c r="F53" s="24">
        <f>IF($A53="","",N(D53)-N(E53))</f>
        <v/>
      </c>
      <c r="G53" s="22" t="n"/>
      <c r="H53" s="23">
        <f>IF($A53="","",IFERROR(SUMPRODUCT(('[1]عهد ومصروفات دمياط'!$H$8:$H$5007=$A53)*('[1]عهد ومصروفات دمياط'!$S$8:$S$5007=2)*'[1]عهد ومصروفات دمياط'!$T$8:$T$5007),0))</f>
        <v/>
      </c>
      <c r="I53" s="24">
        <f>IF($A53="","",N(G53)-N(H53))</f>
        <v/>
      </c>
      <c r="J53" s="22" t="n"/>
      <c r="K53" s="23">
        <f>IF($A53="","",IFERROR(SUMPRODUCT(('[1]عهد ومصروفات دمياط'!$H$8:$H$5007=$A53)*('[1]عهد ومصروفات دمياط'!$S$8:$S$5007=3)*'[1]عهد ومصروفات دمياط'!$T$8:$T$5007),0))</f>
        <v/>
      </c>
      <c r="L53" s="24">
        <f>IF($A53="","",N(J53)-N(K53))</f>
        <v/>
      </c>
      <c r="M53" s="22" t="n"/>
      <c r="N53" s="23">
        <f>IF($A53="","",IFERROR(SUMPRODUCT(('[1]عهد ومصروفات دمياط'!$H$8:$H$5007=$A53)*('[1]عهد ومصروفات دمياط'!$S$8:$S$5007=4)*'[1]عهد ومصروفات دمياط'!$T$8:$T$5007),0))</f>
        <v/>
      </c>
      <c r="O53" s="24">
        <f>IF($A53="","",N(M53)-N(N53))</f>
        <v/>
      </c>
      <c r="P53" s="22" t="n"/>
      <c r="Q53" s="23">
        <f>IF($A53="","",IFERROR(SUMPRODUCT(('[1]عهد ومصروفات دمياط'!$H$8:$H$5007=$A53)*('[1]عهد ومصروفات دمياط'!$S$8:$S$5007=5)*'[1]عهد ومصروفات دمياط'!$T$8:$T$5007),0))</f>
        <v/>
      </c>
      <c r="R53" s="24">
        <f>IF($A53="","",N(P53)-N(Q53))</f>
        <v/>
      </c>
      <c r="S53" s="22" t="n"/>
      <c r="T53" s="23">
        <f>IF($A53="","",IFERROR(SUMPRODUCT(('[1]عهد ومصروفات دمياط'!$H$8:$H$5007=$A53)*('[1]عهد ومصروفات دمياط'!$S$8:$S$5007=6)*'[1]عهد ومصروفات دمياط'!$T$8:$T$5007),0))</f>
        <v/>
      </c>
      <c r="U53" s="24">
        <f>IF($A53="","",N(S53)-N(T53))</f>
        <v/>
      </c>
      <c r="V53" s="22" t="n"/>
      <c r="W53" s="23">
        <f>IF($A53="","",IFERROR(SUMPRODUCT(('[1]عهد ومصروفات دمياط'!$H$8:$H$5007=$A53)*('[1]عهد ومصروفات دمياط'!$S$8:$S$5007=7)*'[1]عهد ومصروفات دمياط'!$T$8:$T$5007),0))</f>
        <v/>
      </c>
      <c r="X53" s="24">
        <f>IF($A53="","",N(V53)-N(W53))</f>
        <v/>
      </c>
      <c r="Y53" s="22" t="n"/>
      <c r="Z53" s="23">
        <f>IF($A53="","",IFERROR(SUMPRODUCT(('[1]عهد ومصروفات دمياط'!$H$8:$H$5007=$A53)*('[1]عهد ومصروفات دمياط'!$S$8:$S$5007=8)*'[1]عهد ومصروفات دمياط'!$T$8:$T$5007),0))</f>
        <v/>
      </c>
      <c r="AA53" s="24">
        <f>IF($A53="","",N(Y53)-N(Z53))</f>
        <v/>
      </c>
      <c r="AB53" s="22" t="n"/>
      <c r="AC53" s="23">
        <f>IF($A53="","",IFERROR(SUMPRODUCT(('[1]عهد ومصروفات دمياط'!$H$8:$H$5007=$A53)*('[1]عهد ومصروفات دمياط'!$S$8:$S$5007=9)*'[1]عهد ومصروفات دمياط'!$T$8:$T$5007),0))</f>
        <v/>
      </c>
      <c r="AD53" s="24">
        <f>IF($A53="","",N(AB53)-N(AC53))</f>
        <v/>
      </c>
      <c r="AE53" s="22" t="n"/>
      <c r="AF53" s="23">
        <f>IF($A53="","",IFERROR(SUMPRODUCT(('[1]عهد ومصروفات دمياط'!$H$8:$H$5007=$A53)*('[1]عهد ومصروفات دمياط'!$S$8:$S$5007=10)*'[1]عهد ومصروفات دمياط'!$T$8:$T$5007),0))</f>
        <v/>
      </c>
      <c r="AG53" s="24">
        <f>IF($A53="","",N(AE53)-N(AF53))</f>
        <v/>
      </c>
      <c r="AH53" s="22" t="n"/>
      <c r="AI53" s="23">
        <f>IF($A53="","",IFERROR(SUMPRODUCT(('[1]عهد ومصروفات دمياط'!$H$8:$H$5007=$A53)*('[1]عهد ومصروفات دمياط'!$S$8:$S$5007=11)*'[1]عهد ومصروفات دمياط'!$T$8:$T$5007),0))</f>
        <v/>
      </c>
      <c r="AJ53" s="24">
        <f>IF($A53="","",N(AH53)-N(AI53))</f>
        <v/>
      </c>
      <c r="AK53" s="22" t="n"/>
      <c r="AL53" s="23">
        <f>IF($A53="","",IFERROR(SUMPRODUCT(('[1]عهد ومصروفات دمياط'!$H$8:$H$5007=$A53)*('[1]عهد ومصروفات دمياط'!$S$8:$S$5007=12)*'[1]عهد ومصروفات دمياط'!$T$8:$T$5007),0))</f>
        <v/>
      </c>
      <c r="AM53" s="24">
        <f>IF($A53="","",N(AK53)-N(AL53))</f>
        <v/>
      </c>
      <c r="AN53" s="25">
        <f>IF(A53="","",N(D53)+N(G53)+N(J53)+N(M53)+N(P53)+N(S53)+N(V53)+N(Y53)+N(AB53)+N(AE53)+N(AH53)+N(AK53))</f>
        <v/>
      </c>
      <c r="AO53" s="25">
        <f>IF(A53="","",N(E53)+N(H53)+N(K53)+N(N53)+N(Q53)+N(T53)+N(W53)+N(Z53)+N(AC53)+N(AF53)+N(AI53)+N(AL53))</f>
        <v/>
      </c>
      <c r="AP53" s="26">
        <f>IF(A53="","",N(B53)-AO53)</f>
        <v/>
      </c>
      <c r="AQ53">
        <f>IF(A53="",0,(N(F53)&lt;0)+(N(I53)&lt;0)+(N(L53)&lt;0)+(N(O53)&lt;0)+(N(R53)&lt;0)+(N(U53)&lt;0)+(N(X53)&lt;0)+(N(AA53)&lt;0)+(N(AD53)&lt;0)+(N(AG53)&lt;0)+(N(AJ53)&lt;0)+(N(AM53)&lt;0))</f>
        <v/>
      </c>
      <c r="AR53">
        <f>IF(A53="",0,MAX(0,-N(F53))+MAX(0,-N(I53))+MAX(0,-N(L53))+MAX(0,-N(O53))+MAX(0,-N(R53))+MAX(0,-N(U53))+MAX(0,-N(X53))+MAX(0,-N(AA53))+MAX(0,-N(AD53))+MAX(0,-N(AG53))+MAX(0,-N(AJ53))+MAX(0,-N(AM53)))</f>
        <v/>
      </c>
      <c r="AS53">
        <f>IF(A53="",0,IF(OR(N(AP53)&lt;0,AQ53&gt;0),1,0))</f>
        <v/>
      </c>
      <c r="AT53">
        <f>AT52+AS53</f>
        <v/>
      </c>
      <c r="AU53">
        <f>IF(A53="",-1,N(AO53)+ROW()/10000000)</f>
        <v/>
      </c>
    </row>
    <row r="54">
      <c r="A54" s="19" t="n"/>
      <c r="B54" s="20" t="n"/>
      <c r="C54" s="21">
        <f>IF(A54="","",N(B54)/12)</f>
        <v/>
      </c>
      <c r="D54" s="22" t="n"/>
      <c r="E54" s="23">
        <f>IF($A54="","",IFERROR(SUMPRODUCT(('[1]عهد ومصروفات دمياط'!$H$8:$H$5007=$A54)*('[1]عهد ومصروفات دمياط'!$S$8:$S$5007=1)*'[1]عهد ومصروفات دمياط'!$T$8:$T$5007),0))</f>
        <v/>
      </c>
      <c r="F54" s="24">
        <f>IF($A54="","",N(D54)-N(E54))</f>
        <v/>
      </c>
      <c r="G54" s="22" t="n"/>
      <c r="H54" s="23">
        <f>IF($A54="","",IFERROR(SUMPRODUCT(('[1]عهد ومصروفات دمياط'!$H$8:$H$5007=$A54)*('[1]عهد ومصروفات دمياط'!$S$8:$S$5007=2)*'[1]عهد ومصروفات دمياط'!$T$8:$T$5007),0))</f>
        <v/>
      </c>
      <c r="I54" s="24">
        <f>IF($A54="","",N(G54)-N(H54))</f>
        <v/>
      </c>
      <c r="J54" s="22" t="n"/>
      <c r="K54" s="23">
        <f>IF($A54="","",IFERROR(SUMPRODUCT(('[1]عهد ومصروفات دمياط'!$H$8:$H$5007=$A54)*('[1]عهد ومصروفات دمياط'!$S$8:$S$5007=3)*'[1]عهد ومصروفات دمياط'!$T$8:$T$5007),0))</f>
        <v/>
      </c>
      <c r="L54" s="24">
        <f>IF($A54="","",N(J54)-N(K54))</f>
        <v/>
      </c>
      <c r="M54" s="22" t="n"/>
      <c r="N54" s="23">
        <f>IF($A54="","",IFERROR(SUMPRODUCT(('[1]عهد ومصروفات دمياط'!$H$8:$H$5007=$A54)*('[1]عهد ومصروفات دمياط'!$S$8:$S$5007=4)*'[1]عهد ومصروفات دمياط'!$T$8:$T$5007),0))</f>
        <v/>
      </c>
      <c r="O54" s="24">
        <f>IF($A54="","",N(M54)-N(N54))</f>
        <v/>
      </c>
      <c r="P54" s="22" t="n"/>
      <c r="Q54" s="23">
        <f>IF($A54="","",IFERROR(SUMPRODUCT(('[1]عهد ومصروفات دمياط'!$H$8:$H$5007=$A54)*('[1]عهد ومصروفات دمياط'!$S$8:$S$5007=5)*'[1]عهد ومصروفات دمياط'!$T$8:$T$5007),0))</f>
        <v/>
      </c>
      <c r="R54" s="24">
        <f>IF($A54="","",N(P54)-N(Q54))</f>
        <v/>
      </c>
      <c r="S54" s="22" t="n"/>
      <c r="T54" s="23">
        <f>IF($A54="","",IFERROR(SUMPRODUCT(('[1]عهد ومصروفات دمياط'!$H$8:$H$5007=$A54)*('[1]عهد ومصروفات دمياط'!$S$8:$S$5007=6)*'[1]عهد ومصروفات دمياط'!$T$8:$T$5007),0))</f>
        <v/>
      </c>
      <c r="U54" s="24">
        <f>IF($A54="","",N(S54)-N(T54))</f>
        <v/>
      </c>
      <c r="V54" s="22" t="n"/>
      <c r="W54" s="23">
        <f>IF($A54="","",IFERROR(SUMPRODUCT(('[1]عهد ومصروفات دمياط'!$H$8:$H$5007=$A54)*('[1]عهد ومصروفات دمياط'!$S$8:$S$5007=7)*'[1]عهد ومصروفات دمياط'!$T$8:$T$5007),0))</f>
        <v/>
      </c>
      <c r="X54" s="24">
        <f>IF($A54="","",N(V54)-N(W54))</f>
        <v/>
      </c>
      <c r="Y54" s="22" t="n"/>
      <c r="Z54" s="23">
        <f>IF($A54="","",IFERROR(SUMPRODUCT(('[1]عهد ومصروفات دمياط'!$H$8:$H$5007=$A54)*('[1]عهد ومصروفات دمياط'!$S$8:$S$5007=8)*'[1]عهد ومصروفات دمياط'!$T$8:$T$5007),0))</f>
        <v/>
      </c>
      <c r="AA54" s="24">
        <f>IF($A54="","",N(Y54)-N(Z54))</f>
        <v/>
      </c>
      <c r="AB54" s="22" t="n"/>
      <c r="AC54" s="23">
        <f>IF($A54="","",IFERROR(SUMPRODUCT(('[1]عهد ومصروفات دمياط'!$H$8:$H$5007=$A54)*('[1]عهد ومصروفات دمياط'!$S$8:$S$5007=9)*'[1]عهد ومصروفات دمياط'!$T$8:$T$5007),0))</f>
        <v/>
      </c>
      <c r="AD54" s="24">
        <f>IF($A54="","",N(AB54)-N(AC54))</f>
        <v/>
      </c>
      <c r="AE54" s="22" t="n"/>
      <c r="AF54" s="23">
        <f>IF($A54="","",IFERROR(SUMPRODUCT(('[1]عهد ومصروفات دمياط'!$H$8:$H$5007=$A54)*('[1]عهد ومصروفات دمياط'!$S$8:$S$5007=10)*'[1]عهد ومصروفات دمياط'!$T$8:$T$5007),0))</f>
        <v/>
      </c>
      <c r="AG54" s="24">
        <f>IF($A54="","",N(AE54)-N(AF54))</f>
        <v/>
      </c>
      <c r="AH54" s="22" t="n"/>
      <c r="AI54" s="23">
        <f>IF($A54="","",IFERROR(SUMPRODUCT(('[1]عهد ومصروفات دمياط'!$H$8:$H$5007=$A54)*('[1]عهد ومصروفات دمياط'!$S$8:$S$5007=11)*'[1]عهد ومصروفات دمياط'!$T$8:$T$5007),0))</f>
        <v/>
      </c>
      <c r="AJ54" s="24">
        <f>IF($A54="","",N(AH54)-N(AI54))</f>
        <v/>
      </c>
      <c r="AK54" s="22" t="n"/>
      <c r="AL54" s="23">
        <f>IF($A54="","",IFERROR(SUMPRODUCT(('[1]عهد ومصروفات دمياط'!$H$8:$H$5007=$A54)*('[1]عهد ومصروفات دمياط'!$S$8:$S$5007=12)*'[1]عهد ومصروفات دمياط'!$T$8:$T$5007),0))</f>
        <v/>
      </c>
      <c r="AM54" s="24">
        <f>IF($A54="","",N(AK54)-N(AL54))</f>
        <v/>
      </c>
      <c r="AN54" s="25">
        <f>IF(A54="","",N(D54)+N(G54)+N(J54)+N(M54)+N(P54)+N(S54)+N(V54)+N(Y54)+N(AB54)+N(AE54)+N(AH54)+N(AK54))</f>
        <v/>
      </c>
      <c r="AO54" s="25">
        <f>IF(A54="","",N(E54)+N(H54)+N(K54)+N(N54)+N(Q54)+N(T54)+N(W54)+N(Z54)+N(AC54)+N(AF54)+N(AI54)+N(AL54))</f>
        <v/>
      </c>
      <c r="AP54" s="26">
        <f>IF(A54="","",N(B54)-AO54)</f>
        <v/>
      </c>
      <c r="AQ54">
        <f>IF(A54="",0,(N(F54)&lt;0)+(N(I54)&lt;0)+(N(L54)&lt;0)+(N(O54)&lt;0)+(N(R54)&lt;0)+(N(U54)&lt;0)+(N(X54)&lt;0)+(N(AA54)&lt;0)+(N(AD54)&lt;0)+(N(AG54)&lt;0)+(N(AJ54)&lt;0)+(N(AM54)&lt;0))</f>
        <v/>
      </c>
      <c r="AR54">
        <f>IF(A54="",0,MAX(0,-N(F54))+MAX(0,-N(I54))+MAX(0,-N(L54))+MAX(0,-N(O54))+MAX(0,-N(R54))+MAX(0,-N(U54))+MAX(0,-N(X54))+MAX(0,-N(AA54))+MAX(0,-N(AD54))+MAX(0,-N(AG54))+MAX(0,-N(AJ54))+MAX(0,-N(AM54)))</f>
        <v/>
      </c>
      <c r="AS54">
        <f>IF(A54="",0,IF(OR(N(AP54)&lt;0,AQ54&gt;0),1,0))</f>
        <v/>
      </c>
      <c r="AT54">
        <f>AT53+AS54</f>
        <v/>
      </c>
      <c r="AU54">
        <f>IF(A54="",-1,N(AO54)+ROW()/10000000)</f>
        <v/>
      </c>
    </row>
    <row r="55">
      <c r="A55" s="19" t="n"/>
      <c r="B55" s="20" t="n"/>
      <c r="C55" s="21">
        <f>IF(A55="","",N(B55)/12)</f>
        <v/>
      </c>
      <c r="D55" s="22" t="n"/>
      <c r="E55" s="23">
        <f>IF($A55="","",IFERROR(SUMPRODUCT(('[1]عهد ومصروفات دمياط'!$H$8:$H$5007=$A55)*('[1]عهد ومصروفات دمياط'!$S$8:$S$5007=1)*'[1]عهد ومصروفات دمياط'!$T$8:$T$5007),0))</f>
        <v/>
      </c>
      <c r="F55" s="24">
        <f>IF($A55="","",N(D55)-N(E55))</f>
        <v/>
      </c>
      <c r="G55" s="22" t="n"/>
      <c r="H55" s="23">
        <f>IF($A55="","",IFERROR(SUMPRODUCT(('[1]عهد ومصروفات دمياط'!$H$8:$H$5007=$A55)*('[1]عهد ومصروفات دمياط'!$S$8:$S$5007=2)*'[1]عهد ومصروفات دمياط'!$T$8:$T$5007),0))</f>
        <v/>
      </c>
      <c r="I55" s="24">
        <f>IF($A55="","",N(G55)-N(H55))</f>
        <v/>
      </c>
      <c r="J55" s="22" t="n"/>
      <c r="K55" s="23">
        <f>IF($A55="","",IFERROR(SUMPRODUCT(('[1]عهد ومصروفات دمياط'!$H$8:$H$5007=$A55)*('[1]عهد ومصروفات دمياط'!$S$8:$S$5007=3)*'[1]عهد ومصروفات دمياط'!$T$8:$T$5007),0))</f>
        <v/>
      </c>
      <c r="L55" s="24">
        <f>IF($A55="","",N(J55)-N(K55))</f>
        <v/>
      </c>
      <c r="M55" s="22" t="n"/>
      <c r="N55" s="23">
        <f>IF($A55="","",IFERROR(SUMPRODUCT(('[1]عهد ومصروفات دمياط'!$H$8:$H$5007=$A55)*('[1]عهد ومصروفات دمياط'!$S$8:$S$5007=4)*'[1]عهد ومصروفات دمياط'!$T$8:$T$5007),0))</f>
        <v/>
      </c>
      <c r="O55" s="24">
        <f>IF($A55="","",N(M55)-N(N55))</f>
        <v/>
      </c>
      <c r="P55" s="22" t="n"/>
      <c r="Q55" s="23">
        <f>IF($A55="","",IFERROR(SUMPRODUCT(('[1]عهد ومصروفات دمياط'!$H$8:$H$5007=$A55)*('[1]عهد ومصروفات دمياط'!$S$8:$S$5007=5)*'[1]عهد ومصروفات دمياط'!$T$8:$T$5007),0))</f>
        <v/>
      </c>
      <c r="R55" s="24">
        <f>IF($A55="","",N(P55)-N(Q55))</f>
        <v/>
      </c>
      <c r="S55" s="22" t="n"/>
      <c r="T55" s="23">
        <f>IF($A55="","",IFERROR(SUMPRODUCT(('[1]عهد ومصروفات دمياط'!$H$8:$H$5007=$A55)*('[1]عهد ومصروفات دمياط'!$S$8:$S$5007=6)*'[1]عهد ومصروفات دمياط'!$T$8:$T$5007),0))</f>
        <v/>
      </c>
      <c r="U55" s="24">
        <f>IF($A55="","",N(S55)-N(T55))</f>
        <v/>
      </c>
      <c r="V55" s="22" t="n"/>
      <c r="W55" s="23">
        <f>IF($A55="","",IFERROR(SUMPRODUCT(('[1]عهد ومصروفات دمياط'!$H$8:$H$5007=$A55)*('[1]عهد ومصروفات دمياط'!$S$8:$S$5007=7)*'[1]عهد ومصروفات دمياط'!$T$8:$T$5007),0))</f>
        <v/>
      </c>
      <c r="X55" s="24">
        <f>IF($A55="","",N(V55)-N(W55))</f>
        <v/>
      </c>
      <c r="Y55" s="22" t="n"/>
      <c r="Z55" s="23">
        <f>IF($A55="","",IFERROR(SUMPRODUCT(('[1]عهد ومصروفات دمياط'!$H$8:$H$5007=$A55)*('[1]عهد ومصروفات دمياط'!$S$8:$S$5007=8)*'[1]عهد ومصروفات دمياط'!$T$8:$T$5007),0))</f>
        <v/>
      </c>
      <c r="AA55" s="24">
        <f>IF($A55="","",N(Y55)-N(Z55))</f>
        <v/>
      </c>
      <c r="AB55" s="22" t="n"/>
      <c r="AC55" s="23">
        <f>IF($A55="","",IFERROR(SUMPRODUCT(('[1]عهد ومصروفات دمياط'!$H$8:$H$5007=$A55)*('[1]عهد ومصروفات دمياط'!$S$8:$S$5007=9)*'[1]عهد ومصروفات دمياط'!$T$8:$T$5007),0))</f>
        <v/>
      </c>
      <c r="AD55" s="24">
        <f>IF($A55="","",N(AB55)-N(AC55))</f>
        <v/>
      </c>
      <c r="AE55" s="22" t="n"/>
      <c r="AF55" s="23">
        <f>IF($A55="","",IFERROR(SUMPRODUCT(('[1]عهد ومصروفات دمياط'!$H$8:$H$5007=$A55)*('[1]عهد ومصروفات دمياط'!$S$8:$S$5007=10)*'[1]عهد ومصروفات دمياط'!$T$8:$T$5007),0))</f>
        <v/>
      </c>
      <c r="AG55" s="24">
        <f>IF($A55="","",N(AE55)-N(AF55))</f>
        <v/>
      </c>
      <c r="AH55" s="22" t="n"/>
      <c r="AI55" s="23">
        <f>IF($A55="","",IFERROR(SUMPRODUCT(('[1]عهد ومصروفات دمياط'!$H$8:$H$5007=$A55)*('[1]عهد ومصروفات دمياط'!$S$8:$S$5007=11)*'[1]عهد ومصروفات دمياط'!$T$8:$T$5007),0))</f>
        <v/>
      </c>
      <c r="AJ55" s="24">
        <f>IF($A55="","",N(AH55)-N(AI55))</f>
        <v/>
      </c>
      <c r="AK55" s="22" t="n"/>
      <c r="AL55" s="23">
        <f>IF($A55="","",IFERROR(SUMPRODUCT(('[1]عهد ومصروفات دمياط'!$H$8:$H$5007=$A55)*('[1]عهد ومصروفات دمياط'!$S$8:$S$5007=12)*'[1]عهد ومصروفات دمياط'!$T$8:$T$5007),0))</f>
        <v/>
      </c>
      <c r="AM55" s="24">
        <f>IF($A55="","",N(AK55)-N(AL55))</f>
        <v/>
      </c>
      <c r="AN55" s="25">
        <f>IF(A55="","",N(D55)+N(G55)+N(J55)+N(M55)+N(P55)+N(S55)+N(V55)+N(Y55)+N(AB55)+N(AE55)+N(AH55)+N(AK55))</f>
        <v/>
      </c>
      <c r="AO55" s="25">
        <f>IF(A55="","",N(E55)+N(H55)+N(K55)+N(N55)+N(Q55)+N(T55)+N(W55)+N(Z55)+N(AC55)+N(AF55)+N(AI55)+N(AL55))</f>
        <v/>
      </c>
      <c r="AP55" s="26">
        <f>IF(A55="","",N(B55)-AO55)</f>
        <v/>
      </c>
      <c r="AQ55">
        <f>IF(A55="",0,(N(F55)&lt;0)+(N(I55)&lt;0)+(N(L55)&lt;0)+(N(O55)&lt;0)+(N(R55)&lt;0)+(N(U55)&lt;0)+(N(X55)&lt;0)+(N(AA55)&lt;0)+(N(AD55)&lt;0)+(N(AG55)&lt;0)+(N(AJ55)&lt;0)+(N(AM55)&lt;0))</f>
        <v/>
      </c>
      <c r="AR55">
        <f>IF(A55="",0,MAX(0,-N(F55))+MAX(0,-N(I55))+MAX(0,-N(L55))+MAX(0,-N(O55))+MAX(0,-N(R55))+MAX(0,-N(U55))+MAX(0,-N(X55))+MAX(0,-N(AA55))+MAX(0,-N(AD55))+MAX(0,-N(AG55))+MAX(0,-N(AJ55))+MAX(0,-N(AM55)))</f>
        <v/>
      </c>
      <c r="AS55">
        <f>IF(A55="",0,IF(OR(N(AP55)&lt;0,AQ55&gt;0),1,0))</f>
        <v/>
      </c>
      <c r="AT55">
        <f>AT54+AS55</f>
        <v/>
      </c>
      <c r="AU55">
        <f>IF(A55="",-1,N(AO55)+ROW()/10000000)</f>
        <v/>
      </c>
    </row>
    <row r="56">
      <c r="A56" s="19" t="n"/>
      <c r="B56" s="20" t="n"/>
      <c r="C56" s="21">
        <f>IF(A56="","",N(B56)/12)</f>
        <v/>
      </c>
      <c r="D56" s="22" t="n"/>
      <c r="E56" s="23">
        <f>IF($A56="","",IFERROR(SUMPRODUCT(('[1]عهد ومصروفات دمياط'!$H$8:$H$5007=$A56)*('[1]عهد ومصروفات دمياط'!$S$8:$S$5007=1)*'[1]عهد ومصروفات دمياط'!$T$8:$T$5007),0))</f>
        <v/>
      </c>
      <c r="F56" s="24">
        <f>IF($A56="","",N(D56)-N(E56))</f>
        <v/>
      </c>
      <c r="G56" s="22" t="n"/>
      <c r="H56" s="23">
        <f>IF($A56="","",IFERROR(SUMPRODUCT(('[1]عهد ومصروفات دمياط'!$H$8:$H$5007=$A56)*('[1]عهد ومصروفات دمياط'!$S$8:$S$5007=2)*'[1]عهد ومصروفات دمياط'!$T$8:$T$5007),0))</f>
        <v/>
      </c>
      <c r="I56" s="24">
        <f>IF($A56="","",N(G56)-N(H56))</f>
        <v/>
      </c>
      <c r="J56" s="22" t="n"/>
      <c r="K56" s="23">
        <f>IF($A56="","",IFERROR(SUMPRODUCT(('[1]عهد ومصروفات دمياط'!$H$8:$H$5007=$A56)*('[1]عهد ومصروفات دمياط'!$S$8:$S$5007=3)*'[1]عهد ومصروفات دمياط'!$T$8:$T$5007),0))</f>
        <v/>
      </c>
      <c r="L56" s="24">
        <f>IF($A56="","",N(J56)-N(K56))</f>
        <v/>
      </c>
      <c r="M56" s="22" t="n"/>
      <c r="N56" s="23">
        <f>IF($A56="","",IFERROR(SUMPRODUCT(('[1]عهد ومصروفات دمياط'!$H$8:$H$5007=$A56)*('[1]عهد ومصروفات دمياط'!$S$8:$S$5007=4)*'[1]عهد ومصروفات دمياط'!$T$8:$T$5007),0))</f>
        <v/>
      </c>
      <c r="O56" s="24">
        <f>IF($A56="","",N(M56)-N(N56))</f>
        <v/>
      </c>
      <c r="P56" s="22" t="n"/>
      <c r="Q56" s="23">
        <f>IF($A56="","",IFERROR(SUMPRODUCT(('[1]عهد ومصروفات دمياط'!$H$8:$H$5007=$A56)*('[1]عهد ومصروفات دمياط'!$S$8:$S$5007=5)*'[1]عهد ومصروفات دمياط'!$T$8:$T$5007),0))</f>
        <v/>
      </c>
      <c r="R56" s="24">
        <f>IF($A56="","",N(P56)-N(Q56))</f>
        <v/>
      </c>
      <c r="S56" s="22" t="n"/>
      <c r="T56" s="23">
        <f>IF($A56="","",IFERROR(SUMPRODUCT(('[1]عهد ومصروفات دمياط'!$H$8:$H$5007=$A56)*('[1]عهد ومصروفات دمياط'!$S$8:$S$5007=6)*'[1]عهد ومصروفات دمياط'!$T$8:$T$5007),0))</f>
        <v/>
      </c>
      <c r="U56" s="24">
        <f>IF($A56="","",N(S56)-N(T56))</f>
        <v/>
      </c>
      <c r="V56" s="22" t="n"/>
      <c r="W56" s="23">
        <f>IF($A56="","",IFERROR(SUMPRODUCT(('[1]عهد ومصروفات دمياط'!$H$8:$H$5007=$A56)*('[1]عهد ومصروفات دمياط'!$S$8:$S$5007=7)*'[1]عهد ومصروفات دمياط'!$T$8:$T$5007),0))</f>
        <v/>
      </c>
      <c r="X56" s="24">
        <f>IF($A56="","",N(V56)-N(W56))</f>
        <v/>
      </c>
      <c r="Y56" s="22" t="n"/>
      <c r="Z56" s="23">
        <f>IF($A56="","",IFERROR(SUMPRODUCT(('[1]عهد ومصروفات دمياط'!$H$8:$H$5007=$A56)*('[1]عهد ومصروفات دمياط'!$S$8:$S$5007=8)*'[1]عهد ومصروفات دمياط'!$T$8:$T$5007),0))</f>
        <v/>
      </c>
      <c r="AA56" s="24">
        <f>IF($A56="","",N(Y56)-N(Z56))</f>
        <v/>
      </c>
      <c r="AB56" s="22" t="n"/>
      <c r="AC56" s="23">
        <f>IF($A56="","",IFERROR(SUMPRODUCT(('[1]عهد ومصروفات دمياط'!$H$8:$H$5007=$A56)*('[1]عهد ومصروفات دمياط'!$S$8:$S$5007=9)*'[1]عهد ومصروفات دمياط'!$T$8:$T$5007),0))</f>
        <v/>
      </c>
      <c r="AD56" s="24">
        <f>IF($A56="","",N(AB56)-N(AC56))</f>
        <v/>
      </c>
      <c r="AE56" s="22" t="n"/>
      <c r="AF56" s="23">
        <f>IF($A56="","",IFERROR(SUMPRODUCT(('[1]عهد ومصروفات دمياط'!$H$8:$H$5007=$A56)*('[1]عهد ومصروفات دمياط'!$S$8:$S$5007=10)*'[1]عهد ومصروفات دمياط'!$T$8:$T$5007),0))</f>
        <v/>
      </c>
      <c r="AG56" s="24">
        <f>IF($A56="","",N(AE56)-N(AF56))</f>
        <v/>
      </c>
      <c r="AH56" s="22" t="n"/>
      <c r="AI56" s="23">
        <f>IF($A56="","",IFERROR(SUMPRODUCT(('[1]عهد ومصروفات دمياط'!$H$8:$H$5007=$A56)*('[1]عهد ومصروفات دمياط'!$S$8:$S$5007=11)*'[1]عهد ومصروفات دمياط'!$T$8:$T$5007),0))</f>
        <v/>
      </c>
      <c r="AJ56" s="24">
        <f>IF($A56="","",N(AH56)-N(AI56))</f>
        <v/>
      </c>
      <c r="AK56" s="22" t="n"/>
      <c r="AL56" s="23">
        <f>IF($A56="","",IFERROR(SUMPRODUCT(('[1]عهد ومصروفات دمياط'!$H$8:$H$5007=$A56)*('[1]عهد ومصروفات دمياط'!$S$8:$S$5007=12)*'[1]عهد ومصروفات دمياط'!$T$8:$T$5007),0))</f>
        <v/>
      </c>
      <c r="AM56" s="24">
        <f>IF($A56="","",N(AK56)-N(AL56))</f>
        <v/>
      </c>
      <c r="AN56" s="25">
        <f>IF(A56="","",N(D56)+N(G56)+N(J56)+N(M56)+N(P56)+N(S56)+N(V56)+N(Y56)+N(AB56)+N(AE56)+N(AH56)+N(AK56))</f>
        <v/>
      </c>
      <c r="AO56" s="25">
        <f>IF(A56="","",N(E56)+N(H56)+N(K56)+N(N56)+N(Q56)+N(T56)+N(W56)+N(Z56)+N(AC56)+N(AF56)+N(AI56)+N(AL56))</f>
        <v/>
      </c>
      <c r="AP56" s="26">
        <f>IF(A56="","",N(B56)-AO56)</f>
        <v/>
      </c>
      <c r="AQ56">
        <f>IF(A56="",0,(N(F56)&lt;0)+(N(I56)&lt;0)+(N(L56)&lt;0)+(N(O56)&lt;0)+(N(R56)&lt;0)+(N(U56)&lt;0)+(N(X56)&lt;0)+(N(AA56)&lt;0)+(N(AD56)&lt;0)+(N(AG56)&lt;0)+(N(AJ56)&lt;0)+(N(AM56)&lt;0))</f>
        <v/>
      </c>
      <c r="AR56">
        <f>IF(A56="",0,MAX(0,-N(F56))+MAX(0,-N(I56))+MAX(0,-N(L56))+MAX(0,-N(O56))+MAX(0,-N(R56))+MAX(0,-N(U56))+MAX(0,-N(X56))+MAX(0,-N(AA56))+MAX(0,-N(AD56))+MAX(0,-N(AG56))+MAX(0,-N(AJ56))+MAX(0,-N(AM56)))</f>
        <v/>
      </c>
      <c r="AS56">
        <f>IF(A56="",0,IF(OR(N(AP56)&lt;0,AQ56&gt;0),1,0))</f>
        <v/>
      </c>
      <c r="AT56">
        <f>AT55+AS56</f>
        <v/>
      </c>
      <c r="AU56">
        <f>IF(A56="",-1,N(AO56)+ROW()/10000000)</f>
        <v/>
      </c>
    </row>
    <row r="57">
      <c r="A57" s="19" t="n"/>
      <c r="B57" s="20" t="n"/>
      <c r="C57" s="21">
        <f>IF(A57="","",N(B57)/12)</f>
        <v/>
      </c>
      <c r="D57" s="22" t="n"/>
      <c r="E57" s="23">
        <f>IF($A57="","",IFERROR(SUMPRODUCT(('[1]عهد ومصروفات دمياط'!$H$8:$H$5007=$A57)*('[1]عهد ومصروفات دمياط'!$S$8:$S$5007=1)*'[1]عهد ومصروفات دمياط'!$T$8:$T$5007),0))</f>
        <v/>
      </c>
      <c r="F57" s="24">
        <f>IF($A57="","",N(D57)-N(E57))</f>
        <v/>
      </c>
      <c r="G57" s="22" t="n"/>
      <c r="H57" s="23">
        <f>IF($A57="","",IFERROR(SUMPRODUCT(('[1]عهد ومصروفات دمياط'!$H$8:$H$5007=$A57)*('[1]عهد ومصروفات دمياط'!$S$8:$S$5007=2)*'[1]عهد ومصروفات دمياط'!$T$8:$T$5007),0))</f>
        <v/>
      </c>
      <c r="I57" s="24">
        <f>IF($A57="","",N(G57)-N(H57))</f>
        <v/>
      </c>
      <c r="J57" s="22" t="n"/>
      <c r="K57" s="23">
        <f>IF($A57="","",IFERROR(SUMPRODUCT(('[1]عهد ومصروفات دمياط'!$H$8:$H$5007=$A57)*('[1]عهد ومصروفات دمياط'!$S$8:$S$5007=3)*'[1]عهد ومصروفات دمياط'!$T$8:$T$5007),0))</f>
        <v/>
      </c>
      <c r="L57" s="24">
        <f>IF($A57="","",N(J57)-N(K57))</f>
        <v/>
      </c>
      <c r="M57" s="22" t="n"/>
      <c r="N57" s="23">
        <f>IF($A57="","",IFERROR(SUMPRODUCT(('[1]عهد ومصروفات دمياط'!$H$8:$H$5007=$A57)*('[1]عهد ومصروفات دمياط'!$S$8:$S$5007=4)*'[1]عهد ومصروفات دمياط'!$T$8:$T$5007),0))</f>
        <v/>
      </c>
      <c r="O57" s="24">
        <f>IF($A57="","",N(M57)-N(N57))</f>
        <v/>
      </c>
      <c r="P57" s="22" t="n"/>
      <c r="Q57" s="23">
        <f>IF($A57="","",IFERROR(SUMPRODUCT(('[1]عهد ومصروفات دمياط'!$H$8:$H$5007=$A57)*('[1]عهد ومصروفات دمياط'!$S$8:$S$5007=5)*'[1]عهد ومصروفات دمياط'!$T$8:$T$5007),0))</f>
        <v/>
      </c>
      <c r="R57" s="24">
        <f>IF($A57="","",N(P57)-N(Q57))</f>
        <v/>
      </c>
      <c r="S57" s="22" t="n"/>
      <c r="T57" s="23">
        <f>IF($A57="","",IFERROR(SUMPRODUCT(('[1]عهد ومصروفات دمياط'!$H$8:$H$5007=$A57)*('[1]عهد ومصروفات دمياط'!$S$8:$S$5007=6)*'[1]عهد ومصروفات دمياط'!$T$8:$T$5007),0))</f>
        <v/>
      </c>
      <c r="U57" s="24">
        <f>IF($A57="","",N(S57)-N(T57))</f>
        <v/>
      </c>
      <c r="V57" s="22" t="n"/>
      <c r="W57" s="23">
        <f>IF($A57="","",IFERROR(SUMPRODUCT(('[1]عهد ومصروفات دمياط'!$H$8:$H$5007=$A57)*('[1]عهد ومصروفات دمياط'!$S$8:$S$5007=7)*'[1]عهد ومصروفات دمياط'!$T$8:$T$5007),0))</f>
        <v/>
      </c>
      <c r="X57" s="24">
        <f>IF($A57="","",N(V57)-N(W57))</f>
        <v/>
      </c>
      <c r="Y57" s="22" t="n"/>
      <c r="Z57" s="23">
        <f>IF($A57="","",IFERROR(SUMPRODUCT(('[1]عهد ومصروفات دمياط'!$H$8:$H$5007=$A57)*('[1]عهد ومصروفات دمياط'!$S$8:$S$5007=8)*'[1]عهد ومصروفات دمياط'!$T$8:$T$5007),0))</f>
        <v/>
      </c>
      <c r="AA57" s="24">
        <f>IF($A57="","",N(Y57)-N(Z57))</f>
        <v/>
      </c>
      <c r="AB57" s="22" t="n"/>
      <c r="AC57" s="23">
        <f>IF($A57="","",IFERROR(SUMPRODUCT(('[1]عهد ومصروفات دمياط'!$H$8:$H$5007=$A57)*('[1]عهد ومصروفات دمياط'!$S$8:$S$5007=9)*'[1]عهد ومصروفات دمياط'!$T$8:$T$5007),0))</f>
        <v/>
      </c>
      <c r="AD57" s="24">
        <f>IF($A57="","",N(AB57)-N(AC57))</f>
        <v/>
      </c>
      <c r="AE57" s="22" t="n"/>
      <c r="AF57" s="23">
        <f>IF($A57="","",IFERROR(SUMPRODUCT(('[1]عهد ومصروفات دمياط'!$H$8:$H$5007=$A57)*('[1]عهد ومصروفات دمياط'!$S$8:$S$5007=10)*'[1]عهد ومصروفات دمياط'!$T$8:$T$5007),0))</f>
        <v/>
      </c>
      <c r="AG57" s="24">
        <f>IF($A57="","",N(AE57)-N(AF57))</f>
        <v/>
      </c>
      <c r="AH57" s="22" t="n"/>
      <c r="AI57" s="23">
        <f>IF($A57="","",IFERROR(SUMPRODUCT(('[1]عهد ومصروفات دمياط'!$H$8:$H$5007=$A57)*('[1]عهد ومصروفات دمياط'!$S$8:$S$5007=11)*'[1]عهد ومصروفات دمياط'!$T$8:$T$5007),0))</f>
        <v/>
      </c>
      <c r="AJ57" s="24">
        <f>IF($A57="","",N(AH57)-N(AI57))</f>
        <v/>
      </c>
      <c r="AK57" s="22" t="n"/>
      <c r="AL57" s="23">
        <f>IF($A57="","",IFERROR(SUMPRODUCT(('[1]عهد ومصروفات دمياط'!$H$8:$H$5007=$A57)*('[1]عهد ومصروفات دمياط'!$S$8:$S$5007=12)*'[1]عهد ومصروفات دمياط'!$T$8:$T$5007),0))</f>
        <v/>
      </c>
      <c r="AM57" s="24">
        <f>IF($A57="","",N(AK57)-N(AL57))</f>
        <v/>
      </c>
      <c r="AN57" s="25">
        <f>IF(A57="","",N(D57)+N(G57)+N(J57)+N(M57)+N(P57)+N(S57)+N(V57)+N(Y57)+N(AB57)+N(AE57)+N(AH57)+N(AK57))</f>
        <v/>
      </c>
      <c r="AO57" s="25">
        <f>IF(A57="","",N(E57)+N(H57)+N(K57)+N(N57)+N(Q57)+N(T57)+N(W57)+N(Z57)+N(AC57)+N(AF57)+N(AI57)+N(AL57))</f>
        <v/>
      </c>
      <c r="AP57" s="26">
        <f>IF(A57="","",N(B57)-AO57)</f>
        <v/>
      </c>
      <c r="AQ57">
        <f>IF(A57="",0,(N(F57)&lt;0)+(N(I57)&lt;0)+(N(L57)&lt;0)+(N(O57)&lt;0)+(N(R57)&lt;0)+(N(U57)&lt;0)+(N(X57)&lt;0)+(N(AA57)&lt;0)+(N(AD57)&lt;0)+(N(AG57)&lt;0)+(N(AJ57)&lt;0)+(N(AM57)&lt;0))</f>
        <v/>
      </c>
      <c r="AR57">
        <f>IF(A57="",0,MAX(0,-N(F57))+MAX(0,-N(I57))+MAX(0,-N(L57))+MAX(0,-N(O57))+MAX(0,-N(R57))+MAX(0,-N(U57))+MAX(0,-N(X57))+MAX(0,-N(AA57))+MAX(0,-N(AD57))+MAX(0,-N(AG57))+MAX(0,-N(AJ57))+MAX(0,-N(AM57)))</f>
        <v/>
      </c>
      <c r="AS57">
        <f>IF(A57="",0,IF(OR(N(AP57)&lt;0,AQ57&gt;0),1,0))</f>
        <v/>
      </c>
      <c r="AT57">
        <f>AT56+AS57</f>
        <v/>
      </c>
      <c r="AU57">
        <f>IF(A57="",-1,N(AO57)+ROW()/10000000)</f>
        <v/>
      </c>
    </row>
    <row r="58">
      <c r="A58" s="19" t="n"/>
      <c r="B58" s="20" t="n"/>
      <c r="C58" s="21">
        <f>IF(A58="","",N(B58)/12)</f>
        <v/>
      </c>
      <c r="D58" s="22" t="n"/>
      <c r="E58" s="23">
        <f>IF($A58="","",IFERROR(SUMPRODUCT(('[1]عهد ومصروفات دمياط'!$H$8:$H$5007=$A58)*('[1]عهد ومصروفات دمياط'!$S$8:$S$5007=1)*'[1]عهد ومصروفات دمياط'!$T$8:$T$5007),0))</f>
        <v/>
      </c>
      <c r="F58" s="24">
        <f>IF($A58="","",N(D58)-N(E58))</f>
        <v/>
      </c>
      <c r="G58" s="22" t="n"/>
      <c r="H58" s="23">
        <f>IF($A58="","",IFERROR(SUMPRODUCT(('[1]عهد ومصروفات دمياط'!$H$8:$H$5007=$A58)*('[1]عهد ومصروفات دمياط'!$S$8:$S$5007=2)*'[1]عهد ومصروفات دمياط'!$T$8:$T$5007),0))</f>
        <v/>
      </c>
      <c r="I58" s="24">
        <f>IF($A58="","",N(G58)-N(H58))</f>
        <v/>
      </c>
      <c r="J58" s="22" t="n"/>
      <c r="K58" s="23">
        <f>IF($A58="","",IFERROR(SUMPRODUCT(('[1]عهد ومصروفات دمياط'!$H$8:$H$5007=$A58)*('[1]عهد ومصروفات دمياط'!$S$8:$S$5007=3)*'[1]عهد ومصروفات دمياط'!$T$8:$T$5007),0))</f>
        <v/>
      </c>
      <c r="L58" s="24">
        <f>IF($A58="","",N(J58)-N(K58))</f>
        <v/>
      </c>
      <c r="M58" s="22" t="n"/>
      <c r="N58" s="23">
        <f>IF($A58="","",IFERROR(SUMPRODUCT(('[1]عهد ومصروفات دمياط'!$H$8:$H$5007=$A58)*('[1]عهد ومصروفات دمياط'!$S$8:$S$5007=4)*'[1]عهد ومصروفات دمياط'!$T$8:$T$5007),0))</f>
        <v/>
      </c>
      <c r="O58" s="24">
        <f>IF($A58="","",N(M58)-N(N58))</f>
        <v/>
      </c>
      <c r="P58" s="22" t="n"/>
      <c r="Q58" s="23">
        <f>IF($A58="","",IFERROR(SUMPRODUCT(('[1]عهد ومصروفات دمياط'!$H$8:$H$5007=$A58)*('[1]عهد ومصروفات دمياط'!$S$8:$S$5007=5)*'[1]عهد ومصروفات دمياط'!$T$8:$T$5007),0))</f>
        <v/>
      </c>
      <c r="R58" s="24">
        <f>IF($A58="","",N(P58)-N(Q58))</f>
        <v/>
      </c>
      <c r="S58" s="22" t="n"/>
      <c r="T58" s="23">
        <f>IF($A58="","",IFERROR(SUMPRODUCT(('[1]عهد ومصروفات دمياط'!$H$8:$H$5007=$A58)*('[1]عهد ومصروفات دمياط'!$S$8:$S$5007=6)*'[1]عهد ومصروفات دمياط'!$T$8:$T$5007),0))</f>
        <v/>
      </c>
      <c r="U58" s="24">
        <f>IF($A58="","",N(S58)-N(T58))</f>
        <v/>
      </c>
      <c r="V58" s="22" t="n"/>
      <c r="W58" s="23">
        <f>IF($A58="","",IFERROR(SUMPRODUCT(('[1]عهد ومصروفات دمياط'!$H$8:$H$5007=$A58)*('[1]عهد ومصروفات دمياط'!$S$8:$S$5007=7)*'[1]عهد ومصروفات دمياط'!$T$8:$T$5007),0))</f>
        <v/>
      </c>
      <c r="X58" s="24">
        <f>IF($A58="","",N(V58)-N(W58))</f>
        <v/>
      </c>
      <c r="Y58" s="22" t="n"/>
      <c r="Z58" s="23">
        <f>IF($A58="","",IFERROR(SUMPRODUCT(('[1]عهد ومصروفات دمياط'!$H$8:$H$5007=$A58)*('[1]عهد ومصروفات دمياط'!$S$8:$S$5007=8)*'[1]عهد ومصروفات دمياط'!$T$8:$T$5007),0))</f>
        <v/>
      </c>
      <c r="AA58" s="24">
        <f>IF($A58="","",N(Y58)-N(Z58))</f>
        <v/>
      </c>
      <c r="AB58" s="22" t="n"/>
      <c r="AC58" s="23">
        <f>IF($A58="","",IFERROR(SUMPRODUCT(('[1]عهد ومصروفات دمياط'!$H$8:$H$5007=$A58)*('[1]عهد ومصروفات دمياط'!$S$8:$S$5007=9)*'[1]عهد ومصروفات دمياط'!$T$8:$T$5007),0))</f>
        <v/>
      </c>
      <c r="AD58" s="24">
        <f>IF($A58="","",N(AB58)-N(AC58))</f>
        <v/>
      </c>
      <c r="AE58" s="22" t="n"/>
      <c r="AF58" s="23">
        <f>IF($A58="","",IFERROR(SUMPRODUCT(('[1]عهد ومصروفات دمياط'!$H$8:$H$5007=$A58)*('[1]عهد ومصروفات دمياط'!$S$8:$S$5007=10)*'[1]عهد ومصروفات دمياط'!$T$8:$T$5007),0))</f>
        <v/>
      </c>
      <c r="AG58" s="24">
        <f>IF($A58="","",N(AE58)-N(AF58))</f>
        <v/>
      </c>
      <c r="AH58" s="22" t="n"/>
      <c r="AI58" s="23">
        <f>IF($A58="","",IFERROR(SUMPRODUCT(('[1]عهد ومصروفات دمياط'!$H$8:$H$5007=$A58)*('[1]عهد ومصروفات دمياط'!$S$8:$S$5007=11)*'[1]عهد ومصروفات دمياط'!$T$8:$T$5007),0))</f>
        <v/>
      </c>
      <c r="AJ58" s="24">
        <f>IF($A58="","",N(AH58)-N(AI58))</f>
        <v/>
      </c>
      <c r="AK58" s="22" t="n"/>
      <c r="AL58" s="23">
        <f>IF($A58="","",IFERROR(SUMPRODUCT(('[1]عهد ومصروفات دمياط'!$H$8:$H$5007=$A58)*('[1]عهد ومصروفات دمياط'!$S$8:$S$5007=12)*'[1]عهد ومصروفات دمياط'!$T$8:$T$5007),0))</f>
        <v/>
      </c>
      <c r="AM58" s="24">
        <f>IF($A58="","",N(AK58)-N(AL58))</f>
        <v/>
      </c>
      <c r="AN58" s="25">
        <f>IF(A58="","",N(D58)+N(G58)+N(J58)+N(M58)+N(P58)+N(S58)+N(V58)+N(Y58)+N(AB58)+N(AE58)+N(AH58)+N(AK58))</f>
        <v/>
      </c>
      <c r="AO58" s="25">
        <f>IF(A58="","",N(E58)+N(H58)+N(K58)+N(N58)+N(Q58)+N(T58)+N(W58)+N(Z58)+N(AC58)+N(AF58)+N(AI58)+N(AL58))</f>
        <v/>
      </c>
      <c r="AP58" s="26">
        <f>IF(A58="","",N(B58)-AO58)</f>
        <v/>
      </c>
      <c r="AQ58">
        <f>IF(A58="",0,(N(F58)&lt;0)+(N(I58)&lt;0)+(N(L58)&lt;0)+(N(O58)&lt;0)+(N(R58)&lt;0)+(N(U58)&lt;0)+(N(X58)&lt;0)+(N(AA58)&lt;0)+(N(AD58)&lt;0)+(N(AG58)&lt;0)+(N(AJ58)&lt;0)+(N(AM58)&lt;0))</f>
        <v/>
      </c>
      <c r="AR58">
        <f>IF(A58="",0,MAX(0,-N(F58))+MAX(0,-N(I58))+MAX(0,-N(L58))+MAX(0,-N(O58))+MAX(0,-N(R58))+MAX(0,-N(U58))+MAX(0,-N(X58))+MAX(0,-N(AA58))+MAX(0,-N(AD58))+MAX(0,-N(AG58))+MAX(0,-N(AJ58))+MAX(0,-N(AM58)))</f>
        <v/>
      </c>
      <c r="AS58">
        <f>IF(A58="",0,IF(OR(N(AP58)&lt;0,AQ58&gt;0),1,0))</f>
        <v/>
      </c>
      <c r="AT58">
        <f>AT57+AS58</f>
        <v/>
      </c>
      <c r="AU58">
        <f>IF(A58="",-1,N(AO58)+ROW()/10000000)</f>
        <v/>
      </c>
    </row>
    <row r="59">
      <c r="A59" s="19" t="n"/>
      <c r="B59" s="20" t="n"/>
      <c r="C59" s="21">
        <f>IF(A59="","",N(B59)/12)</f>
        <v/>
      </c>
      <c r="D59" s="22" t="n"/>
      <c r="E59" s="23">
        <f>IF($A59="","",IFERROR(SUMPRODUCT(('[1]عهد ومصروفات دمياط'!$H$8:$H$5007=$A59)*('[1]عهد ومصروفات دمياط'!$S$8:$S$5007=1)*'[1]عهد ومصروفات دمياط'!$T$8:$T$5007),0))</f>
        <v/>
      </c>
      <c r="F59" s="24">
        <f>IF($A59="","",N(D59)-N(E59))</f>
        <v/>
      </c>
      <c r="G59" s="22" t="n"/>
      <c r="H59" s="23">
        <f>IF($A59="","",IFERROR(SUMPRODUCT(('[1]عهد ومصروفات دمياط'!$H$8:$H$5007=$A59)*('[1]عهد ومصروفات دمياط'!$S$8:$S$5007=2)*'[1]عهد ومصروفات دمياط'!$T$8:$T$5007),0))</f>
        <v/>
      </c>
      <c r="I59" s="24">
        <f>IF($A59="","",N(G59)-N(H59))</f>
        <v/>
      </c>
      <c r="J59" s="22" t="n"/>
      <c r="K59" s="23">
        <f>IF($A59="","",IFERROR(SUMPRODUCT(('[1]عهد ومصروفات دمياط'!$H$8:$H$5007=$A59)*('[1]عهد ومصروفات دمياط'!$S$8:$S$5007=3)*'[1]عهد ومصروفات دمياط'!$T$8:$T$5007),0))</f>
        <v/>
      </c>
      <c r="L59" s="24">
        <f>IF($A59="","",N(J59)-N(K59))</f>
        <v/>
      </c>
      <c r="M59" s="22" t="n"/>
      <c r="N59" s="23">
        <f>IF($A59="","",IFERROR(SUMPRODUCT(('[1]عهد ومصروفات دمياط'!$H$8:$H$5007=$A59)*('[1]عهد ومصروفات دمياط'!$S$8:$S$5007=4)*'[1]عهد ومصروفات دمياط'!$T$8:$T$5007),0))</f>
        <v/>
      </c>
      <c r="O59" s="24">
        <f>IF($A59="","",N(M59)-N(N59))</f>
        <v/>
      </c>
      <c r="P59" s="22" t="n"/>
      <c r="Q59" s="23">
        <f>IF($A59="","",IFERROR(SUMPRODUCT(('[1]عهد ومصروفات دمياط'!$H$8:$H$5007=$A59)*('[1]عهد ومصروفات دمياط'!$S$8:$S$5007=5)*'[1]عهد ومصروفات دمياط'!$T$8:$T$5007),0))</f>
        <v/>
      </c>
      <c r="R59" s="24">
        <f>IF($A59="","",N(P59)-N(Q59))</f>
        <v/>
      </c>
      <c r="S59" s="22" t="n"/>
      <c r="T59" s="23">
        <f>IF($A59="","",IFERROR(SUMPRODUCT(('[1]عهد ومصروفات دمياط'!$H$8:$H$5007=$A59)*('[1]عهد ومصروفات دمياط'!$S$8:$S$5007=6)*'[1]عهد ومصروفات دمياط'!$T$8:$T$5007),0))</f>
        <v/>
      </c>
      <c r="U59" s="24">
        <f>IF($A59="","",N(S59)-N(T59))</f>
        <v/>
      </c>
      <c r="V59" s="22" t="n"/>
      <c r="W59" s="23">
        <f>IF($A59="","",IFERROR(SUMPRODUCT(('[1]عهد ومصروفات دمياط'!$H$8:$H$5007=$A59)*('[1]عهد ومصروفات دمياط'!$S$8:$S$5007=7)*'[1]عهد ومصروفات دمياط'!$T$8:$T$5007),0))</f>
        <v/>
      </c>
      <c r="X59" s="24">
        <f>IF($A59="","",N(V59)-N(W59))</f>
        <v/>
      </c>
      <c r="Y59" s="22" t="n"/>
      <c r="Z59" s="23">
        <f>IF($A59="","",IFERROR(SUMPRODUCT(('[1]عهد ومصروفات دمياط'!$H$8:$H$5007=$A59)*('[1]عهد ومصروفات دمياط'!$S$8:$S$5007=8)*'[1]عهد ومصروفات دمياط'!$T$8:$T$5007),0))</f>
        <v/>
      </c>
      <c r="AA59" s="24">
        <f>IF($A59="","",N(Y59)-N(Z59))</f>
        <v/>
      </c>
      <c r="AB59" s="22" t="n"/>
      <c r="AC59" s="23">
        <f>IF($A59="","",IFERROR(SUMPRODUCT(('[1]عهد ومصروفات دمياط'!$H$8:$H$5007=$A59)*('[1]عهد ومصروفات دمياط'!$S$8:$S$5007=9)*'[1]عهد ومصروفات دمياط'!$T$8:$T$5007),0))</f>
        <v/>
      </c>
      <c r="AD59" s="24">
        <f>IF($A59="","",N(AB59)-N(AC59))</f>
        <v/>
      </c>
      <c r="AE59" s="22" t="n"/>
      <c r="AF59" s="23">
        <f>IF($A59="","",IFERROR(SUMPRODUCT(('[1]عهد ومصروفات دمياط'!$H$8:$H$5007=$A59)*('[1]عهد ومصروفات دمياط'!$S$8:$S$5007=10)*'[1]عهد ومصروفات دمياط'!$T$8:$T$5007),0))</f>
        <v/>
      </c>
      <c r="AG59" s="24">
        <f>IF($A59="","",N(AE59)-N(AF59))</f>
        <v/>
      </c>
      <c r="AH59" s="22" t="n"/>
      <c r="AI59" s="23">
        <f>IF($A59="","",IFERROR(SUMPRODUCT(('[1]عهد ومصروفات دمياط'!$H$8:$H$5007=$A59)*('[1]عهد ومصروفات دمياط'!$S$8:$S$5007=11)*'[1]عهد ومصروفات دمياط'!$T$8:$T$5007),0))</f>
        <v/>
      </c>
      <c r="AJ59" s="24">
        <f>IF($A59="","",N(AH59)-N(AI59))</f>
        <v/>
      </c>
      <c r="AK59" s="22" t="n"/>
      <c r="AL59" s="23">
        <f>IF($A59="","",IFERROR(SUMPRODUCT(('[1]عهد ومصروفات دمياط'!$H$8:$H$5007=$A59)*('[1]عهد ومصروفات دمياط'!$S$8:$S$5007=12)*'[1]عهد ومصروفات دمياط'!$T$8:$T$5007),0))</f>
        <v/>
      </c>
      <c r="AM59" s="24">
        <f>IF($A59="","",N(AK59)-N(AL59))</f>
        <v/>
      </c>
      <c r="AN59" s="25">
        <f>IF(A59="","",N(D59)+N(G59)+N(J59)+N(M59)+N(P59)+N(S59)+N(V59)+N(Y59)+N(AB59)+N(AE59)+N(AH59)+N(AK59))</f>
        <v/>
      </c>
      <c r="AO59" s="25">
        <f>IF(A59="","",N(E59)+N(H59)+N(K59)+N(N59)+N(Q59)+N(T59)+N(W59)+N(Z59)+N(AC59)+N(AF59)+N(AI59)+N(AL59))</f>
        <v/>
      </c>
      <c r="AP59" s="26">
        <f>IF(A59="","",N(B59)-AO59)</f>
        <v/>
      </c>
      <c r="AQ59">
        <f>IF(A59="",0,(N(F59)&lt;0)+(N(I59)&lt;0)+(N(L59)&lt;0)+(N(O59)&lt;0)+(N(R59)&lt;0)+(N(U59)&lt;0)+(N(X59)&lt;0)+(N(AA59)&lt;0)+(N(AD59)&lt;0)+(N(AG59)&lt;0)+(N(AJ59)&lt;0)+(N(AM59)&lt;0))</f>
        <v/>
      </c>
      <c r="AR59">
        <f>IF(A59="",0,MAX(0,-N(F59))+MAX(0,-N(I59))+MAX(0,-N(L59))+MAX(0,-N(O59))+MAX(0,-N(R59))+MAX(0,-N(U59))+MAX(0,-N(X59))+MAX(0,-N(AA59))+MAX(0,-N(AD59))+MAX(0,-N(AG59))+MAX(0,-N(AJ59))+MAX(0,-N(AM59)))</f>
        <v/>
      </c>
      <c r="AS59">
        <f>IF(A59="",0,IF(OR(N(AP59)&lt;0,AQ59&gt;0),1,0))</f>
        <v/>
      </c>
      <c r="AT59">
        <f>AT58+AS59</f>
        <v/>
      </c>
      <c r="AU59">
        <f>IF(A59="",-1,N(AO59)+ROW()/10000000)</f>
        <v/>
      </c>
    </row>
    <row r="60">
      <c r="A60" s="19" t="n"/>
      <c r="B60" s="20" t="n"/>
      <c r="C60" s="21">
        <f>IF(A60="","",N(B60)/12)</f>
        <v/>
      </c>
      <c r="D60" s="22" t="n"/>
      <c r="E60" s="23">
        <f>IF($A60="","",IFERROR(SUMPRODUCT(('[1]عهد ومصروفات دمياط'!$H$8:$H$5007=$A60)*('[1]عهد ومصروفات دمياط'!$S$8:$S$5007=1)*'[1]عهد ومصروفات دمياط'!$T$8:$T$5007),0))</f>
        <v/>
      </c>
      <c r="F60" s="24">
        <f>IF($A60="","",N(D60)-N(E60))</f>
        <v/>
      </c>
      <c r="G60" s="22" t="n"/>
      <c r="H60" s="23">
        <f>IF($A60="","",IFERROR(SUMPRODUCT(('[1]عهد ومصروفات دمياط'!$H$8:$H$5007=$A60)*('[1]عهد ومصروفات دمياط'!$S$8:$S$5007=2)*'[1]عهد ومصروفات دمياط'!$T$8:$T$5007),0))</f>
        <v/>
      </c>
      <c r="I60" s="24">
        <f>IF($A60="","",N(G60)-N(H60))</f>
        <v/>
      </c>
      <c r="J60" s="22" t="n"/>
      <c r="K60" s="23">
        <f>IF($A60="","",IFERROR(SUMPRODUCT(('[1]عهد ومصروفات دمياط'!$H$8:$H$5007=$A60)*('[1]عهد ومصروفات دمياط'!$S$8:$S$5007=3)*'[1]عهد ومصروفات دمياط'!$T$8:$T$5007),0))</f>
        <v/>
      </c>
      <c r="L60" s="24">
        <f>IF($A60="","",N(J60)-N(K60))</f>
        <v/>
      </c>
      <c r="M60" s="22" t="n"/>
      <c r="N60" s="23">
        <f>IF($A60="","",IFERROR(SUMPRODUCT(('[1]عهد ومصروفات دمياط'!$H$8:$H$5007=$A60)*('[1]عهد ومصروفات دمياط'!$S$8:$S$5007=4)*'[1]عهد ومصروفات دمياط'!$T$8:$T$5007),0))</f>
        <v/>
      </c>
      <c r="O60" s="24">
        <f>IF($A60="","",N(M60)-N(N60))</f>
        <v/>
      </c>
      <c r="P60" s="22" t="n"/>
      <c r="Q60" s="23">
        <f>IF($A60="","",IFERROR(SUMPRODUCT(('[1]عهد ومصروفات دمياط'!$H$8:$H$5007=$A60)*('[1]عهد ومصروفات دمياط'!$S$8:$S$5007=5)*'[1]عهد ومصروفات دمياط'!$T$8:$T$5007),0))</f>
        <v/>
      </c>
      <c r="R60" s="24">
        <f>IF($A60="","",N(P60)-N(Q60))</f>
        <v/>
      </c>
      <c r="S60" s="22" t="n"/>
      <c r="T60" s="23">
        <f>IF($A60="","",IFERROR(SUMPRODUCT(('[1]عهد ومصروفات دمياط'!$H$8:$H$5007=$A60)*('[1]عهد ومصروفات دمياط'!$S$8:$S$5007=6)*'[1]عهد ومصروفات دمياط'!$T$8:$T$5007),0))</f>
        <v/>
      </c>
      <c r="U60" s="24">
        <f>IF($A60="","",N(S60)-N(T60))</f>
        <v/>
      </c>
      <c r="V60" s="22" t="n"/>
      <c r="W60" s="23">
        <f>IF($A60="","",IFERROR(SUMPRODUCT(('[1]عهد ومصروفات دمياط'!$H$8:$H$5007=$A60)*('[1]عهد ومصروفات دمياط'!$S$8:$S$5007=7)*'[1]عهد ومصروفات دمياط'!$T$8:$T$5007),0))</f>
        <v/>
      </c>
      <c r="X60" s="24">
        <f>IF($A60="","",N(V60)-N(W60))</f>
        <v/>
      </c>
      <c r="Y60" s="22" t="n"/>
      <c r="Z60" s="23">
        <f>IF($A60="","",IFERROR(SUMPRODUCT(('[1]عهد ومصروفات دمياط'!$H$8:$H$5007=$A60)*('[1]عهد ومصروفات دمياط'!$S$8:$S$5007=8)*'[1]عهد ومصروفات دمياط'!$T$8:$T$5007),0))</f>
        <v/>
      </c>
      <c r="AA60" s="24">
        <f>IF($A60="","",N(Y60)-N(Z60))</f>
        <v/>
      </c>
      <c r="AB60" s="22" t="n"/>
      <c r="AC60" s="23">
        <f>IF($A60="","",IFERROR(SUMPRODUCT(('[1]عهد ومصروفات دمياط'!$H$8:$H$5007=$A60)*('[1]عهد ومصروفات دمياط'!$S$8:$S$5007=9)*'[1]عهد ومصروفات دمياط'!$T$8:$T$5007),0))</f>
        <v/>
      </c>
      <c r="AD60" s="24">
        <f>IF($A60="","",N(AB60)-N(AC60))</f>
        <v/>
      </c>
      <c r="AE60" s="22" t="n"/>
      <c r="AF60" s="23">
        <f>IF($A60="","",IFERROR(SUMPRODUCT(('[1]عهد ومصروفات دمياط'!$H$8:$H$5007=$A60)*('[1]عهد ومصروفات دمياط'!$S$8:$S$5007=10)*'[1]عهد ومصروفات دمياط'!$T$8:$T$5007),0))</f>
        <v/>
      </c>
      <c r="AG60" s="24">
        <f>IF($A60="","",N(AE60)-N(AF60))</f>
        <v/>
      </c>
      <c r="AH60" s="22" t="n"/>
      <c r="AI60" s="23">
        <f>IF($A60="","",IFERROR(SUMPRODUCT(('[1]عهد ومصروفات دمياط'!$H$8:$H$5007=$A60)*('[1]عهد ومصروفات دمياط'!$S$8:$S$5007=11)*'[1]عهد ومصروفات دمياط'!$T$8:$T$5007),0))</f>
        <v/>
      </c>
      <c r="AJ60" s="24">
        <f>IF($A60="","",N(AH60)-N(AI60))</f>
        <v/>
      </c>
      <c r="AK60" s="22" t="n"/>
      <c r="AL60" s="23">
        <f>IF($A60="","",IFERROR(SUMPRODUCT(('[1]عهد ومصروفات دمياط'!$H$8:$H$5007=$A60)*('[1]عهد ومصروفات دمياط'!$S$8:$S$5007=12)*'[1]عهد ومصروفات دمياط'!$T$8:$T$5007),0))</f>
        <v/>
      </c>
      <c r="AM60" s="24">
        <f>IF($A60="","",N(AK60)-N(AL60))</f>
        <v/>
      </c>
      <c r="AN60" s="25">
        <f>IF(A60="","",N(D60)+N(G60)+N(J60)+N(M60)+N(P60)+N(S60)+N(V60)+N(Y60)+N(AB60)+N(AE60)+N(AH60)+N(AK60))</f>
        <v/>
      </c>
      <c r="AO60" s="25">
        <f>IF(A60="","",N(E60)+N(H60)+N(K60)+N(N60)+N(Q60)+N(T60)+N(W60)+N(Z60)+N(AC60)+N(AF60)+N(AI60)+N(AL60))</f>
        <v/>
      </c>
      <c r="AP60" s="26">
        <f>IF(A60="","",N(B60)-AO60)</f>
        <v/>
      </c>
      <c r="AQ60">
        <f>IF(A60="",0,(N(F60)&lt;0)+(N(I60)&lt;0)+(N(L60)&lt;0)+(N(O60)&lt;0)+(N(R60)&lt;0)+(N(U60)&lt;0)+(N(X60)&lt;0)+(N(AA60)&lt;0)+(N(AD60)&lt;0)+(N(AG60)&lt;0)+(N(AJ60)&lt;0)+(N(AM60)&lt;0))</f>
        <v/>
      </c>
      <c r="AR60">
        <f>IF(A60="",0,MAX(0,-N(F60))+MAX(0,-N(I60))+MAX(0,-N(L60))+MAX(0,-N(O60))+MAX(0,-N(R60))+MAX(0,-N(U60))+MAX(0,-N(X60))+MAX(0,-N(AA60))+MAX(0,-N(AD60))+MAX(0,-N(AG60))+MAX(0,-N(AJ60))+MAX(0,-N(AM60)))</f>
        <v/>
      </c>
      <c r="AS60">
        <f>IF(A60="",0,IF(OR(N(AP60)&lt;0,AQ60&gt;0),1,0))</f>
        <v/>
      </c>
      <c r="AT60">
        <f>AT59+AS60</f>
        <v/>
      </c>
      <c r="AU60">
        <f>IF(A60="",-1,N(AO60)+ROW()/10000000)</f>
        <v/>
      </c>
    </row>
    <row r="61">
      <c r="A61" s="19" t="n"/>
      <c r="B61" s="20" t="n"/>
      <c r="C61" s="21">
        <f>IF(A61="","",N(B61)/12)</f>
        <v/>
      </c>
      <c r="D61" s="22" t="n"/>
      <c r="E61" s="23">
        <f>IF($A61="","",IFERROR(SUMPRODUCT(('[1]عهد ومصروفات دمياط'!$H$8:$H$5007=$A61)*('[1]عهد ومصروفات دمياط'!$S$8:$S$5007=1)*'[1]عهد ومصروفات دمياط'!$T$8:$T$5007),0))</f>
        <v/>
      </c>
      <c r="F61" s="24">
        <f>IF($A61="","",N(D61)-N(E61))</f>
        <v/>
      </c>
      <c r="G61" s="22" t="n"/>
      <c r="H61" s="23">
        <f>IF($A61="","",IFERROR(SUMPRODUCT(('[1]عهد ومصروفات دمياط'!$H$8:$H$5007=$A61)*('[1]عهد ومصروفات دمياط'!$S$8:$S$5007=2)*'[1]عهد ومصروفات دمياط'!$T$8:$T$5007),0))</f>
        <v/>
      </c>
      <c r="I61" s="24">
        <f>IF($A61="","",N(G61)-N(H61))</f>
        <v/>
      </c>
      <c r="J61" s="22" t="n"/>
      <c r="K61" s="23">
        <f>IF($A61="","",IFERROR(SUMPRODUCT(('[1]عهد ومصروفات دمياط'!$H$8:$H$5007=$A61)*('[1]عهد ومصروفات دمياط'!$S$8:$S$5007=3)*'[1]عهد ومصروفات دمياط'!$T$8:$T$5007),0))</f>
        <v/>
      </c>
      <c r="L61" s="24">
        <f>IF($A61="","",N(J61)-N(K61))</f>
        <v/>
      </c>
      <c r="M61" s="22" t="n"/>
      <c r="N61" s="23">
        <f>IF($A61="","",IFERROR(SUMPRODUCT(('[1]عهد ومصروفات دمياط'!$H$8:$H$5007=$A61)*('[1]عهد ومصروفات دمياط'!$S$8:$S$5007=4)*'[1]عهد ومصروفات دمياط'!$T$8:$T$5007),0))</f>
        <v/>
      </c>
      <c r="O61" s="24">
        <f>IF($A61="","",N(M61)-N(N61))</f>
        <v/>
      </c>
      <c r="P61" s="22" t="n"/>
      <c r="Q61" s="23">
        <f>IF($A61="","",IFERROR(SUMPRODUCT(('[1]عهد ومصروفات دمياط'!$H$8:$H$5007=$A61)*('[1]عهد ومصروفات دمياط'!$S$8:$S$5007=5)*'[1]عهد ومصروفات دمياط'!$T$8:$T$5007),0))</f>
        <v/>
      </c>
      <c r="R61" s="24">
        <f>IF($A61="","",N(P61)-N(Q61))</f>
        <v/>
      </c>
      <c r="S61" s="22" t="n"/>
      <c r="T61" s="23">
        <f>IF($A61="","",IFERROR(SUMPRODUCT(('[1]عهد ومصروفات دمياط'!$H$8:$H$5007=$A61)*('[1]عهد ومصروفات دمياط'!$S$8:$S$5007=6)*'[1]عهد ومصروفات دمياط'!$T$8:$T$5007),0))</f>
        <v/>
      </c>
      <c r="U61" s="24">
        <f>IF($A61="","",N(S61)-N(T61))</f>
        <v/>
      </c>
      <c r="V61" s="22" t="n"/>
      <c r="W61" s="23">
        <f>IF($A61="","",IFERROR(SUMPRODUCT(('[1]عهد ومصروفات دمياط'!$H$8:$H$5007=$A61)*('[1]عهد ومصروفات دمياط'!$S$8:$S$5007=7)*'[1]عهد ومصروفات دمياط'!$T$8:$T$5007),0))</f>
        <v/>
      </c>
      <c r="X61" s="24">
        <f>IF($A61="","",N(V61)-N(W61))</f>
        <v/>
      </c>
      <c r="Y61" s="22" t="n"/>
      <c r="Z61" s="23">
        <f>IF($A61="","",IFERROR(SUMPRODUCT(('[1]عهد ومصروفات دمياط'!$H$8:$H$5007=$A61)*('[1]عهد ومصروفات دمياط'!$S$8:$S$5007=8)*'[1]عهد ومصروفات دمياط'!$T$8:$T$5007),0))</f>
        <v/>
      </c>
      <c r="AA61" s="24">
        <f>IF($A61="","",N(Y61)-N(Z61))</f>
        <v/>
      </c>
      <c r="AB61" s="22" t="n"/>
      <c r="AC61" s="23">
        <f>IF($A61="","",IFERROR(SUMPRODUCT(('[1]عهد ومصروفات دمياط'!$H$8:$H$5007=$A61)*('[1]عهد ومصروفات دمياط'!$S$8:$S$5007=9)*'[1]عهد ومصروفات دمياط'!$T$8:$T$5007),0))</f>
        <v/>
      </c>
      <c r="AD61" s="24">
        <f>IF($A61="","",N(AB61)-N(AC61))</f>
        <v/>
      </c>
      <c r="AE61" s="22" t="n"/>
      <c r="AF61" s="23">
        <f>IF($A61="","",IFERROR(SUMPRODUCT(('[1]عهد ومصروفات دمياط'!$H$8:$H$5007=$A61)*('[1]عهد ومصروفات دمياط'!$S$8:$S$5007=10)*'[1]عهد ومصروفات دمياط'!$T$8:$T$5007),0))</f>
        <v/>
      </c>
      <c r="AG61" s="24">
        <f>IF($A61="","",N(AE61)-N(AF61))</f>
        <v/>
      </c>
      <c r="AH61" s="22" t="n"/>
      <c r="AI61" s="23">
        <f>IF($A61="","",IFERROR(SUMPRODUCT(('[1]عهد ومصروفات دمياط'!$H$8:$H$5007=$A61)*('[1]عهد ومصروفات دمياط'!$S$8:$S$5007=11)*'[1]عهد ومصروفات دمياط'!$T$8:$T$5007),0))</f>
        <v/>
      </c>
      <c r="AJ61" s="24">
        <f>IF($A61="","",N(AH61)-N(AI61))</f>
        <v/>
      </c>
      <c r="AK61" s="22" t="n"/>
      <c r="AL61" s="23">
        <f>IF($A61="","",IFERROR(SUMPRODUCT(('[1]عهد ومصروفات دمياط'!$H$8:$H$5007=$A61)*('[1]عهد ومصروفات دمياط'!$S$8:$S$5007=12)*'[1]عهد ومصروفات دمياط'!$T$8:$T$5007),0))</f>
        <v/>
      </c>
      <c r="AM61" s="24">
        <f>IF($A61="","",N(AK61)-N(AL61))</f>
        <v/>
      </c>
      <c r="AN61" s="25">
        <f>IF(A61="","",N(D61)+N(G61)+N(J61)+N(M61)+N(P61)+N(S61)+N(V61)+N(Y61)+N(AB61)+N(AE61)+N(AH61)+N(AK61))</f>
        <v/>
      </c>
      <c r="AO61" s="25">
        <f>IF(A61="","",N(E61)+N(H61)+N(K61)+N(N61)+N(Q61)+N(T61)+N(W61)+N(Z61)+N(AC61)+N(AF61)+N(AI61)+N(AL61))</f>
        <v/>
      </c>
      <c r="AP61" s="26">
        <f>IF(A61="","",N(B61)-AO61)</f>
        <v/>
      </c>
      <c r="AQ61">
        <f>IF(A61="",0,(N(F61)&lt;0)+(N(I61)&lt;0)+(N(L61)&lt;0)+(N(O61)&lt;0)+(N(R61)&lt;0)+(N(U61)&lt;0)+(N(X61)&lt;0)+(N(AA61)&lt;0)+(N(AD61)&lt;0)+(N(AG61)&lt;0)+(N(AJ61)&lt;0)+(N(AM61)&lt;0))</f>
        <v/>
      </c>
      <c r="AR61">
        <f>IF(A61="",0,MAX(0,-N(F61))+MAX(0,-N(I61))+MAX(0,-N(L61))+MAX(0,-N(O61))+MAX(0,-N(R61))+MAX(0,-N(U61))+MAX(0,-N(X61))+MAX(0,-N(AA61))+MAX(0,-N(AD61))+MAX(0,-N(AG61))+MAX(0,-N(AJ61))+MAX(0,-N(AM61)))</f>
        <v/>
      </c>
      <c r="AS61">
        <f>IF(A61="",0,IF(OR(N(AP61)&lt;0,AQ61&gt;0),1,0))</f>
        <v/>
      </c>
      <c r="AT61">
        <f>AT60+AS61</f>
        <v/>
      </c>
      <c r="AU61">
        <f>IF(A61="",-1,N(AO61)+ROW()/10000000)</f>
        <v/>
      </c>
    </row>
    <row r="62">
      <c r="A62" s="19" t="n"/>
      <c r="B62" s="20" t="n"/>
      <c r="C62" s="21">
        <f>IF(A62="","",N(B62)/12)</f>
        <v/>
      </c>
      <c r="D62" s="22" t="n"/>
      <c r="E62" s="23">
        <f>IF($A62="","",IFERROR(SUMPRODUCT(('[1]عهد ومصروفات دمياط'!$H$8:$H$5007=$A62)*('[1]عهد ومصروفات دمياط'!$S$8:$S$5007=1)*'[1]عهد ومصروفات دمياط'!$T$8:$T$5007),0))</f>
        <v/>
      </c>
      <c r="F62" s="24">
        <f>IF($A62="","",N(D62)-N(E62))</f>
        <v/>
      </c>
      <c r="G62" s="22" t="n"/>
      <c r="H62" s="23">
        <f>IF($A62="","",IFERROR(SUMPRODUCT(('[1]عهد ومصروفات دمياط'!$H$8:$H$5007=$A62)*('[1]عهد ومصروفات دمياط'!$S$8:$S$5007=2)*'[1]عهد ومصروفات دمياط'!$T$8:$T$5007),0))</f>
        <v/>
      </c>
      <c r="I62" s="24">
        <f>IF($A62="","",N(G62)-N(H62))</f>
        <v/>
      </c>
      <c r="J62" s="22" t="n"/>
      <c r="K62" s="23">
        <f>IF($A62="","",IFERROR(SUMPRODUCT(('[1]عهد ومصروفات دمياط'!$H$8:$H$5007=$A62)*('[1]عهد ومصروفات دمياط'!$S$8:$S$5007=3)*'[1]عهد ومصروفات دمياط'!$T$8:$T$5007),0))</f>
        <v/>
      </c>
      <c r="L62" s="24">
        <f>IF($A62="","",N(J62)-N(K62))</f>
        <v/>
      </c>
      <c r="M62" s="22" t="n"/>
      <c r="N62" s="23">
        <f>IF($A62="","",IFERROR(SUMPRODUCT(('[1]عهد ومصروفات دمياط'!$H$8:$H$5007=$A62)*('[1]عهد ومصروفات دمياط'!$S$8:$S$5007=4)*'[1]عهد ومصروفات دمياط'!$T$8:$T$5007),0))</f>
        <v/>
      </c>
      <c r="O62" s="24">
        <f>IF($A62="","",N(M62)-N(N62))</f>
        <v/>
      </c>
      <c r="P62" s="22" t="n"/>
      <c r="Q62" s="23">
        <f>IF($A62="","",IFERROR(SUMPRODUCT(('[1]عهد ومصروفات دمياط'!$H$8:$H$5007=$A62)*('[1]عهد ومصروفات دمياط'!$S$8:$S$5007=5)*'[1]عهد ومصروفات دمياط'!$T$8:$T$5007),0))</f>
        <v/>
      </c>
      <c r="R62" s="24">
        <f>IF($A62="","",N(P62)-N(Q62))</f>
        <v/>
      </c>
      <c r="S62" s="22" t="n"/>
      <c r="T62" s="23">
        <f>IF($A62="","",IFERROR(SUMPRODUCT(('[1]عهد ومصروفات دمياط'!$H$8:$H$5007=$A62)*('[1]عهد ومصروفات دمياط'!$S$8:$S$5007=6)*'[1]عهد ومصروفات دمياط'!$T$8:$T$5007),0))</f>
        <v/>
      </c>
      <c r="U62" s="24">
        <f>IF($A62="","",N(S62)-N(T62))</f>
        <v/>
      </c>
      <c r="V62" s="22" t="n"/>
      <c r="W62" s="23">
        <f>IF($A62="","",IFERROR(SUMPRODUCT(('[1]عهد ومصروفات دمياط'!$H$8:$H$5007=$A62)*('[1]عهد ومصروفات دمياط'!$S$8:$S$5007=7)*'[1]عهد ومصروفات دمياط'!$T$8:$T$5007),0))</f>
        <v/>
      </c>
      <c r="X62" s="24">
        <f>IF($A62="","",N(V62)-N(W62))</f>
        <v/>
      </c>
      <c r="Y62" s="22" t="n"/>
      <c r="Z62" s="23">
        <f>IF($A62="","",IFERROR(SUMPRODUCT(('[1]عهد ومصروفات دمياط'!$H$8:$H$5007=$A62)*('[1]عهد ومصروفات دمياط'!$S$8:$S$5007=8)*'[1]عهد ومصروفات دمياط'!$T$8:$T$5007),0))</f>
        <v/>
      </c>
      <c r="AA62" s="24">
        <f>IF($A62="","",N(Y62)-N(Z62))</f>
        <v/>
      </c>
      <c r="AB62" s="22" t="n"/>
      <c r="AC62" s="23">
        <f>IF($A62="","",IFERROR(SUMPRODUCT(('[1]عهد ومصروفات دمياط'!$H$8:$H$5007=$A62)*('[1]عهد ومصروفات دمياط'!$S$8:$S$5007=9)*'[1]عهد ومصروفات دمياط'!$T$8:$T$5007),0))</f>
        <v/>
      </c>
      <c r="AD62" s="24">
        <f>IF($A62="","",N(AB62)-N(AC62))</f>
        <v/>
      </c>
      <c r="AE62" s="22" t="n"/>
      <c r="AF62" s="23">
        <f>IF($A62="","",IFERROR(SUMPRODUCT(('[1]عهد ومصروفات دمياط'!$H$8:$H$5007=$A62)*('[1]عهد ومصروفات دمياط'!$S$8:$S$5007=10)*'[1]عهد ومصروفات دمياط'!$T$8:$T$5007),0))</f>
        <v/>
      </c>
      <c r="AG62" s="24">
        <f>IF($A62="","",N(AE62)-N(AF62))</f>
        <v/>
      </c>
      <c r="AH62" s="22" t="n"/>
      <c r="AI62" s="23">
        <f>IF($A62="","",IFERROR(SUMPRODUCT(('[1]عهد ومصروفات دمياط'!$H$8:$H$5007=$A62)*('[1]عهد ومصروفات دمياط'!$S$8:$S$5007=11)*'[1]عهد ومصروفات دمياط'!$T$8:$T$5007),0))</f>
        <v/>
      </c>
      <c r="AJ62" s="24">
        <f>IF($A62="","",N(AH62)-N(AI62))</f>
        <v/>
      </c>
      <c r="AK62" s="22" t="n"/>
      <c r="AL62" s="23">
        <f>IF($A62="","",IFERROR(SUMPRODUCT(('[1]عهد ومصروفات دمياط'!$H$8:$H$5007=$A62)*('[1]عهد ومصروفات دمياط'!$S$8:$S$5007=12)*'[1]عهد ومصروفات دمياط'!$T$8:$T$5007),0))</f>
        <v/>
      </c>
      <c r="AM62" s="24">
        <f>IF($A62="","",N(AK62)-N(AL62))</f>
        <v/>
      </c>
      <c r="AN62" s="25">
        <f>IF(A62="","",N(D62)+N(G62)+N(J62)+N(M62)+N(P62)+N(S62)+N(V62)+N(Y62)+N(AB62)+N(AE62)+N(AH62)+N(AK62))</f>
        <v/>
      </c>
      <c r="AO62" s="25">
        <f>IF(A62="","",N(E62)+N(H62)+N(K62)+N(N62)+N(Q62)+N(T62)+N(W62)+N(Z62)+N(AC62)+N(AF62)+N(AI62)+N(AL62))</f>
        <v/>
      </c>
      <c r="AP62" s="26">
        <f>IF(A62="","",N(B62)-AO62)</f>
        <v/>
      </c>
      <c r="AQ62">
        <f>IF(A62="",0,(N(F62)&lt;0)+(N(I62)&lt;0)+(N(L62)&lt;0)+(N(O62)&lt;0)+(N(R62)&lt;0)+(N(U62)&lt;0)+(N(X62)&lt;0)+(N(AA62)&lt;0)+(N(AD62)&lt;0)+(N(AG62)&lt;0)+(N(AJ62)&lt;0)+(N(AM62)&lt;0))</f>
        <v/>
      </c>
      <c r="AR62">
        <f>IF(A62="",0,MAX(0,-N(F62))+MAX(0,-N(I62))+MAX(0,-N(L62))+MAX(0,-N(O62))+MAX(0,-N(R62))+MAX(0,-N(U62))+MAX(0,-N(X62))+MAX(0,-N(AA62))+MAX(0,-N(AD62))+MAX(0,-N(AG62))+MAX(0,-N(AJ62))+MAX(0,-N(AM62)))</f>
        <v/>
      </c>
      <c r="AS62">
        <f>IF(A62="",0,IF(OR(N(AP62)&lt;0,AQ62&gt;0),1,0))</f>
        <v/>
      </c>
      <c r="AT62">
        <f>AT61+AS62</f>
        <v/>
      </c>
      <c r="AU62">
        <f>IF(A62="",-1,N(AO62)+ROW()/10000000)</f>
        <v/>
      </c>
    </row>
    <row r="63">
      <c r="A63" s="19" t="n"/>
      <c r="B63" s="20" t="n"/>
      <c r="C63" s="21">
        <f>IF(A63="","",N(B63)/12)</f>
        <v/>
      </c>
      <c r="D63" s="22" t="n"/>
      <c r="E63" s="23">
        <f>IF($A63="","",IFERROR(SUMPRODUCT(('[1]عهد ومصروفات دمياط'!$H$8:$H$5007=$A63)*('[1]عهد ومصروفات دمياط'!$S$8:$S$5007=1)*'[1]عهد ومصروفات دمياط'!$T$8:$T$5007),0))</f>
        <v/>
      </c>
      <c r="F63" s="24">
        <f>IF($A63="","",N(D63)-N(E63))</f>
        <v/>
      </c>
      <c r="G63" s="22" t="n"/>
      <c r="H63" s="23">
        <f>IF($A63="","",IFERROR(SUMPRODUCT(('[1]عهد ومصروفات دمياط'!$H$8:$H$5007=$A63)*('[1]عهد ومصروفات دمياط'!$S$8:$S$5007=2)*'[1]عهد ومصروفات دمياط'!$T$8:$T$5007),0))</f>
        <v/>
      </c>
      <c r="I63" s="24">
        <f>IF($A63="","",N(G63)-N(H63))</f>
        <v/>
      </c>
      <c r="J63" s="22" t="n"/>
      <c r="K63" s="23">
        <f>IF($A63="","",IFERROR(SUMPRODUCT(('[1]عهد ومصروفات دمياط'!$H$8:$H$5007=$A63)*('[1]عهد ومصروفات دمياط'!$S$8:$S$5007=3)*'[1]عهد ومصروفات دمياط'!$T$8:$T$5007),0))</f>
        <v/>
      </c>
      <c r="L63" s="24">
        <f>IF($A63="","",N(J63)-N(K63))</f>
        <v/>
      </c>
      <c r="M63" s="22" t="n"/>
      <c r="N63" s="23">
        <f>IF($A63="","",IFERROR(SUMPRODUCT(('[1]عهد ومصروفات دمياط'!$H$8:$H$5007=$A63)*('[1]عهد ومصروفات دمياط'!$S$8:$S$5007=4)*'[1]عهد ومصروفات دمياط'!$T$8:$T$5007),0))</f>
        <v/>
      </c>
      <c r="O63" s="24">
        <f>IF($A63="","",N(M63)-N(N63))</f>
        <v/>
      </c>
      <c r="P63" s="22" t="n"/>
      <c r="Q63" s="23">
        <f>IF($A63="","",IFERROR(SUMPRODUCT(('[1]عهد ومصروفات دمياط'!$H$8:$H$5007=$A63)*('[1]عهد ومصروفات دمياط'!$S$8:$S$5007=5)*'[1]عهد ومصروفات دمياط'!$T$8:$T$5007),0))</f>
        <v/>
      </c>
      <c r="R63" s="24">
        <f>IF($A63="","",N(P63)-N(Q63))</f>
        <v/>
      </c>
      <c r="S63" s="22" t="n"/>
      <c r="T63" s="23">
        <f>IF($A63="","",IFERROR(SUMPRODUCT(('[1]عهد ومصروفات دمياط'!$H$8:$H$5007=$A63)*('[1]عهد ومصروفات دمياط'!$S$8:$S$5007=6)*'[1]عهد ومصروفات دمياط'!$T$8:$T$5007),0))</f>
        <v/>
      </c>
      <c r="U63" s="24">
        <f>IF($A63="","",N(S63)-N(T63))</f>
        <v/>
      </c>
      <c r="V63" s="22" t="n"/>
      <c r="W63" s="23">
        <f>IF($A63="","",IFERROR(SUMPRODUCT(('[1]عهد ومصروفات دمياط'!$H$8:$H$5007=$A63)*('[1]عهد ومصروفات دمياط'!$S$8:$S$5007=7)*'[1]عهد ومصروفات دمياط'!$T$8:$T$5007),0))</f>
        <v/>
      </c>
      <c r="X63" s="24">
        <f>IF($A63="","",N(V63)-N(W63))</f>
        <v/>
      </c>
      <c r="Y63" s="22" t="n"/>
      <c r="Z63" s="23">
        <f>IF($A63="","",IFERROR(SUMPRODUCT(('[1]عهد ومصروفات دمياط'!$H$8:$H$5007=$A63)*('[1]عهد ومصروفات دمياط'!$S$8:$S$5007=8)*'[1]عهد ومصروفات دمياط'!$T$8:$T$5007),0))</f>
        <v/>
      </c>
      <c r="AA63" s="24">
        <f>IF($A63="","",N(Y63)-N(Z63))</f>
        <v/>
      </c>
      <c r="AB63" s="22" t="n"/>
      <c r="AC63" s="23">
        <f>IF($A63="","",IFERROR(SUMPRODUCT(('[1]عهد ومصروفات دمياط'!$H$8:$H$5007=$A63)*('[1]عهد ومصروفات دمياط'!$S$8:$S$5007=9)*'[1]عهد ومصروفات دمياط'!$T$8:$T$5007),0))</f>
        <v/>
      </c>
      <c r="AD63" s="24">
        <f>IF($A63="","",N(AB63)-N(AC63))</f>
        <v/>
      </c>
      <c r="AE63" s="22" t="n"/>
      <c r="AF63" s="23">
        <f>IF($A63="","",IFERROR(SUMPRODUCT(('[1]عهد ومصروفات دمياط'!$H$8:$H$5007=$A63)*('[1]عهد ومصروفات دمياط'!$S$8:$S$5007=10)*'[1]عهد ومصروفات دمياط'!$T$8:$T$5007),0))</f>
        <v/>
      </c>
      <c r="AG63" s="24">
        <f>IF($A63="","",N(AE63)-N(AF63))</f>
        <v/>
      </c>
      <c r="AH63" s="22" t="n"/>
      <c r="AI63" s="23">
        <f>IF($A63="","",IFERROR(SUMPRODUCT(('[1]عهد ومصروفات دمياط'!$H$8:$H$5007=$A63)*('[1]عهد ومصروفات دمياط'!$S$8:$S$5007=11)*'[1]عهد ومصروفات دمياط'!$T$8:$T$5007),0))</f>
        <v/>
      </c>
      <c r="AJ63" s="24">
        <f>IF($A63="","",N(AH63)-N(AI63))</f>
        <v/>
      </c>
      <c r="AK63" s="22" t="n"/>
      <c r="AL63" s="23">
        <f>IF($A63="","",IFERROR(SUMPRODUCT(('[1]عهد ومصروفات دمياط'!$H$8:$H$5007=$A63)*('[1]عهد ومصروفات دمياط'!$S$8:$S$5007=12)*'[1]عهد ومصروفات دمياط'!$T$8:$T$5007),0))</f>
        <v/>
      </c>
      <c r="AM63" s="24">
        <f>IF($A63="","",N(AK63)-N(AL63))</f>
        <v/>
      </c>
      <c r="AN63" s="25">
        <f>IF(A63="","",N(D63)+N(G63)+N(J63)+N(M63)+N(P63)+N(S63)+N(V63)+N(Y63)+N(AB63)+N(AE63)+N(AH63)+N(AK63))</f>
        <v/>
      </c>
      <c r="AO63" s="25">
        <f>IF(A63="","",N(E63)+N(H63)+N(K63)+N(N63)+N(Q63)+N(T63)+N(W63)+N(Z63)+N(AC63)+N(AF63)+N(AI63)+N(AL63))</f>
        <v/>
      </c>
      <c r="AP63" s="26">
        <f>IF(A63="","",N(B63)-AO63)</f>
        <v/>
      </c>
      <c r="AQ63">
        <f>IF(A63="",0,(N(F63)&lt;0)+(N(I63)&lt;0)+(N(L63)&lt;0)+(N(O63)&lt;0)+(N(R63)&lt;0)+(N(U63)&lt;0)+(N(X63)&lt;0)+(N(AA63)&lt;0)+(N(AD63)&lt;0)+(N(AG63)&lt;0)+(N(AJ63)&lt;0)+(N(AM63)&lt;0))</f>
        <v/>
      </c>
      <c r="AR63">
        <f>IF(A63="",0,MAX(0,-N(F63))+MAX(0,-N(I63))+MAX(0,-N(L63))+MAX(0,-N(O63))+MAX(0,-N(R63))+MAX(0,-N(U63))+MAX(0,-N(X63))+MAX(0,-N(AA63))+MAX(0,-N(AD63))+MAX(0,-N(AG63))+MAX(0,-N(AJ63))+MAX(0,-N(AM63)))</f>
        <v/>
      </c>
      <c r="AS63">
        <f>IF(A63="",0,IF(OR(N(AP63)&lt;0,AQ63&gt;0),1,0))</f>
        <v/>
      </c>
      <c r="AT63">
        <f>AT62+AS63</f>
        <v/>
      </c>
      <c r="AU63">
        <f>IF(A63="",-1,N(AO63)+ROW()/10000000)</f>
        <v/>
      </c>
    </row>
    <row r="64">
      <c r="A64" s="19" t="n"/>
      <c r="B64" s="20" t="n"/>
      <c r="C64" s="21">
        <f>IF(A64="","",N(B64)/12)</f>
        <v/>
      </c>
      <c r="D64" s="22" t="n"/>
      <c r="E64" s="23">
        <f>IF($A64="","",IFERROR(SUMPRODUCT(('[1]عهد ومصروفات دمياط'!$H$8:$H$5007=$A64)*('[1]عهد ومصروفات دمياط'!$S$8:$S$5007=1)*'[1]عهد ومصروفات دمياط'!$T$8:$T$5007),0))</f>
        <v/>
      </c>
      <c r="F64" s="24">
        <f>IF($A64="","",N(D64)-N(E64))</f>
        <v/>
      </c>
      <c r="G64" s="22" t="n"/>
      <c r="H64" s="23">
        <f>IF($A64="","",IFERROR(SUMPRODUCT(('[1]عهد ومصروفات دمياط'!$H$8:$H$5007=$A64)*('[1]عهد ومصروفات دمياط'!$S$8:$S$5007=2)*'[1]عهد ومصروفات دمياط'!$T$8:$T$5007),0))</f>
        <v/>
      </c>
      <c r="I64" s="24">
        <f>IF($A64="","",N(G64)-N(H64))</f>
        <v/>
      </c>
      <c r="J64" s="22" t="n"/>
      <c r="K64" s="23">
        <f>IF($A64="","",IFERROR(SUMPRODUCT(('[1]عهد ومصروفات دمياط'!$H$8:$H$5007=$A64)*('[1]عهد ومصروفات دمياط'!$S$8:$S$5007=3)*'[1]عهد ومصروفات دمياط'!$T$8:$T$5007),0))</f>
        <v/>
      </c>
      <c r="L64" s="24">
        <f>IF($A64="","",N(J64)-N(K64))</f>
        <v/>
      </c>
      <c r="M64" s="22" t="n"/>
      <c r="N64" s="23">
        <f>IF($A64="","",IFERROR(SUMPRODUCT(('[1]عهد ومصروفات دمياط'!$H$8:$H$5007=$A64)*('[1]عهد ومصروفات دمياط'!$S$8:$S$5007=4)*'[1]عهد ومصروفات دمياط'!$T$8:$T$5007),0))</f>
        <v/>
      </c>
      <c r="O64" s="24">
        <f>IF($A64="","",N(M64)-N(N64))</f>
        <v/>
      </c>
      <c r="P64" s="22" t="n"/>
      <c r="Q64" s="23">
        <f>IF($A64="","",IFERROR(SUMPRODUCT(('[1]عهد ومصروفات دمياط'!$H$8:$H$5007=$A64)*('[1]عهد ومصروفات دمياط'!$S$8:$S$5007=5)*'[1]عهد ومصروفات دمياط'!$T$8:$T$5007),0))</f>
        <v/>
      </c>
      <c r="R64" s="24">
        <f>IF($A64="","",N(P64)-N(Q64))</f>
        <v/>
      </c>
      <c r="S64" s="22" t="n"/>
      <c r="T64" s="23">
        <f>IF($A64="","",IFERROR(SUMPRODUCT(('[1]عهد ومصروفات دمياط'!$H$8:$H$5007=$A64)*('[1]عهد ومصروفات دمياط'!$S$8:$S$5007=6)*'[1]عهد ومصروفات دمياط'!$T$8:$T$5007),0))</f>
        <v/>
      </c>
      <c r="U64" s="24">
        <f>IF($A64="","",N(S64)-N(T64))</f>
        <v/>
      </c>
      <c r="V64" s="22" t="n"/>
      <c r="W64" s="23">
        <f>IF($A64="","",IFERROR(SUMPRODUCT(('[1]عهد ومصروفات دمياط'!$H$8:$H$5007=$A64)*('[1]عهد ومصروفات دمياط'!$S$8:$S$5007=7)*'[1]عهد ومصروفات دمياط'!$T$8:$T$5007),0))</f>
        <v/>
      </c>
      <c r="X64" s="24">
        <f>IF($A64="","",N(V64)-N(W64))</f>
        <v/>
      </c>
      <c r="Y64" s="22" t="n"/>
      <c r="Z64" s="23">
        <f>IF($A64="","",IFERROR(SUMPRODUCT(('[1]عهد ومصروفات دمياط'!$H$8:$H$5007=$A64)*('[1]عهد ومصروفات دمياط'!$S$8:$S$5007=8)*'[1]عهد ومصروفات دمياط'!$T$8:$T$5007),0))</f>
        <v/>
      </c>
      <c r="AA64" s="24">
        <f>IF($A64="","",N(Y64)-N(Z64))</f>
        <v/>
      </c>
      <c r="AB64" s="22" t="n"/>
      <c r="AC64" s="23">
        <f>IF($A64="","",IFERROR(SUMPRODUCT(('[1]عهد ومصروفات دمياط'!$H$8:$H$5007=$A64)*('[1]عهد ومصروفات دمياط'!$S$8:$S$5007=9)*'[1]عهد ومصروفات دمياط'!$T$8:$T$5007),0))</f>
        <v/>
      </c>
      <c r="AD64" s="24">
        <f>IF($A64="","",N(AB64)-N(AC64))</f>
        <v/>
      </c>
      <c r="AE64" s="22" t="n"/>
      <c r="AF64" s="23">
        <f>IF($A64="","",IFERROR(SUMPRODUCT(('[1]عهد ومصروفات دمياط'!$H$8:$H$5007=$A64)*('[1]عهد ومصروفات دمياط'!$S$8:$S$5007=10)*'[1]عهد ومصروفات دمياط'!$T$8:$T$5007),0))</f>
        <v/>
      </c>
      <c r="AG64" s="24">
        <f>IF($A64="","",N(AE64)-N(AF64))</f>
        <v/>
      </c>
      <c r="AH64" s="22" t="n"/>
      <c r="AI64" s="23">
        <f>IF($A64="","",IFERROR(SUMPRODUCT(('[1]عهد ومصروفات دمياط'!$H$8:$H$5007=$A64)*('[1]عهد ومصروفات دمياط'!$S$8:$S$5007=11)*'[1]عهد ومصروفات دمياط'!$T$8:$T$5007),0))</f>
        <v/>
      </c>
      <c r="AJ64" s="24">
        <f>IF($A64="","",N(AH64)-N(AI64))</f>
        <v/>
      </c>
      <c r="AK64" s="22" t="n"/>
      <c r="AL64" s="23">
        <f>IF($A64="","",IFERROR(SUMPRODUCT(('[1]عهد ومصروفات دمياط'!$H$8:$H$5007=$A64)*('[1]عهد ومصروفات دمياط'!$S$8:$S$5007=12)*'[1]عهد ومصروفات دمياط'!$T$8:$T$5007),0))</f>
        <v/>
      </c>
      <c r="AM64" s="24">
        <f>IF($A64="","",N(AK64)-N(AL64))</f>
        <v/>
      </c>
      <c r="AN64" s="25">
        <f>IF(A64="","",N(D64)+N(G64)+N(J64)+N(M64)+N(P64)+N(S64)+N(V64)+N(Y64)+N(AB64)+N(AE64)+N(AH64)+N(AK64))</f>
        <v/>
      </c>
      <c r="AO64" s="25">
        <f>IF(A64="","",N(E64)+N(H64)+N(K64)+N(N64)+N(Q64)+N(T64)+N(W64)+N(Z64)+N(AC64)+N(AF64)+N(AI64)+N(AL64))</f>
        <v/>
      </c>
      <c r="AP64" s="26">
        <f>IF(A64="","",N(B64)-AO64)</f>
        <v/>
      </c>
      <c r="AQ64">
        <f>IF(A64="",0,(N(F64)&lt;0)+(N(I64)&lt;0)+(N(L64)&lt;0)+(N(O64)&lt;0)+(N(R64)&lt;0)+(N(U64)&lt;0)+(N(X64)&lt;0)+(N(AA64)&lt;0)+(N(AD64)&lt;0)+(N(AG64)&lt;0)+(N(AJ64)&lt;0)+(N(AM64)&lt;0))</f>
        <v/>
      </c>
      <c r="AR64">
        <f>IF(A64="",0,MAX(0,-N(F64))+MAX(0,-N(I64))+MAX(0,-N(L64))+MAX(0,-N(O64))+MAX(0,-N(R64))+MAX(0,-N(U64))+MAX(0,-N(X64))+MAX(0,-N(AA64))+MAX(0,-N(AD64))+MAX(0,-N(AG64))+MAX(0,-N(AJ64))+MAX(0,-N(AM64)))</f>
        <v/>
      </c>
      <c r="AS64">
        <f>IF(A64="",0,IF(OR(N(AP64)&lt;0,AQ64&gt;0),1,0))</f>
        <v/>
      </c>
      <c r="AT64">
        <f>AT63+AS64</f>
        <v/>
      </c>
      <c r="AU64">
        <f>IF(A64="",-1,N(AO64)+ROW()/10000000)</f>
        <v/>
      </c>
    </row>
    <row r="65">
      <c r="A65" s="19" t="n"/>
      <c r="B65" s="20" t="n"/>
      <c r="C65" s="21">
        <f>IF(A65="","",N(B65)/12)</f>
        <v/>
      </c>
      <c r="D65" s="22" t="n"/>
      <c r="E65" s="23">
        <f>IF($A65="","",IFERROR(SUMPRODUCT(('[1]عهد ومصروفات دمياط'!$H$8:$H$5007=$A65)*('[1]عهد ومصروفات دمياط'!$S$8:$S$5007=1)*'[1]عهد ومصروفات دمياط'!$T$8:$T$5007),0))</f>
        <v/>
      </c>
      <c r="F65" s="24">
        <f>IF($A65="","",N(D65)-N(E65))</f>
        <v/>
      </c>
      <c r="G65" s="22" t="n"/>
      <c r="H65" s="23">
        <f>IF($A65="","",IFERROR(SUMPRODUCT(('[1]عهد ومصروفات دمياط'!$H$8:$H$5007=$A65)*('[1]عهد ومصروفات دمياط'!$S$8:$S$5007=2)*'[1]عهد ومصروفات دمياط'!$T$8:$T$5007),0))</f>
        <v/>
      </c>
      <c r="I65" s="24">
        <f>IF($A65="","",N(G65)-N(H65))</f>
        <v/>
      </c>
      <c r="J65" s="22" t="n"/>
      <c r="K65" s="23">
        <f>IF($A65="","",IFERROR(SUMPRODUCT(('[1]عهد ومصروفات دمياط'!$H$8:$H$5007=$A65)*('[1]عهد ومصروفات دمياط'!$S$8:$S$5007=3)*'[1]عهد ومصروفات دمياط'!$T$8:$T$5007),0))</f>
        <v/>
      </c>
      <c r="L65" s="24">
        <f>IF($A65="","",N(J65)-N(K65))</f>
        <v/>
      </c>
      <c r="M65" s="22" t="n"/>
      <c r="N65" s="23">
        <f>IF($A65="","",IFERROR(SUMPRODUCT(('[1]عهد ومصروفات دمياط'!$H$8:$H$5007=$A65)*('[1]عهد ومصروفات دمياط'!$S$8:$S$5007=4)*'[1]عهد ومصروفات دمياط'!$T$8:$T$5007),0))</f>
        <v/>
      </c>
      <c r="O65" s="24">
        <f>IF($A65="","",N(M65)-N(N65))</f>
        <v/>
      </c>
      <c r="P65" s="22" t="n"/>
      <c r="Q65" s="23">
        <f>IF($A65="","",IFERROR(SUMPRODUCT(('[1]عهد ومصروفات دمياط'!$H$8:$H$5007=$A65)*('[1]عهد ومصروفات دمياط'!$S$8:$S$5007=5)*'[1]عهد ومصروفات دمياط'!$T$8:$T$5007),0))</f>
        <v/>
      </c>
      <c r="R65" s="24">
        <f>IF($A65="","",N(P65)-N(Q65))</f>
        <v/>
      </c>
      <c r="S65" s="22" t="n"/>
      <c r="T65" s="23">
        <f>IF($A65="","",IFERROR(SUMPRODUCT(('[1]عهد ومصروفات دمياط'!$H$8:$H$5007=$A65)*('[1]عهد ومصروفات دمياط'!$S$8:$S$5007=6)*'[1]عهد ومصروفات دمياط'!$T$8:$T$5007),0))</f>
        <v/>
      </c>
      <c r="U65" s="24">
        <f>IF($A65="","",N(S65)-N(T65))</f>
        <v/>
      </c>
      <c r="V65" s="22" t="n"/>
      <c r="W65" s="23">
        <f>IF($A65="","",IFERROR(SUMPRODUCT(('[1]عهد ومصروفات دمياط'!$H$8:$H$5007=$A65)*('[1]عهد ومصروفات دمياط'!$S$8:$S$5007=7)*'[1]عهد ومصروفات دمياط'!$T$8:$T$5007),0))</f>
        <v/>
      </c>
      <c r="X65" s="24">
        <f>IF($A65="","",N(V65)-N(W65))</f>
        <v/>
      </c>
      <c r="Y65" s="22" t="n"/>
      <c r="Z65" s="23">
        <f>IF($A65="","",IFERROR(SUMPRODUCT(('[1]عهد ومصروفات دمياط'!$H$8:$H$5007=$A65)*('[1]عهد ومصروفات دمياط'!$S$8:$S$5007=8)*'[1]عهد ومصروفات دمياط'!$T$8:$T$5007),0))</f>
        <v/>
      </c>
      <c r="AA65" s="24">
        <f>IF($A65="","",N(Y65)-N(Z65))</f>
        <v/>
      </c>
      <c r="AB65" s="22" t="n"/>
      <c r="AC65" s="23">
        <f>IF($A65="","",IFERROR(SUMPRODUCT(('[1]عهد ومصروفات دمياط'!$H$8:$H$5007=$A65)*('[1]عهد ومصروفات دمياط'!$S$8:$S$5007=9)*'[1]عهد ومصروفات دمياط'!$T$8:$T$5007),0))</f>
        <v/>
      </c>
      <c r="AD65" s="24">
        <f>IF($A65="","",N(AB65)-N(AC65))</f>
        <v/>
      </c>
      <c r="AE65" s="22" t="n"/>
      <c r="AF65" s="23">
        <f>IF($A65="","",IFERROR(SUMPRODUCT(('[1]عهد ومصروفات دمياط'!$H$8:$H$5007=$A65)*('[1]عهد ومصروفات دمياط'!$S$8:$S$5007=10)*'[1]عهد ومصروفات دمياط'!$T$8:$T$5007),0))</f>
        <v/>
      </c>
      <c r="AG65" s="24">
        <f>IF($A65="","",N(AE65)-N(AF65))</f>
        <v/>
      </c>
      <c r="AH65" s="22" t="n"/>
      <c r="AI65" s="23">
        <f>IF($A65="","",IFERROR(SUMPRODUCT(('[1]عهد ومصروفات دمياط'!$H$8:$H$5007=$A65)*('[1]عهد ومصروفات دمياط'!$S$8:$S$5007=11)*'[1]عهد ومصروفات دمياط'!$T$8:$T$5007),0))</f>
        <v/>
      </c>
      <c r="AJ65" s="24">
        <f>IF($A65="","",N(AH65)-N(AI65))</f>
        <v/>
      </c>
      <c r="AK65" s="22" t="n"/>
      <c r="AL65" s="23">
        <f>IF($A65="","",IFERROR(SUMPRODUCT(('[1]عهد ومصروفات دمياط'!$H$8:$H$5007=$A65)*('[1]عهد ومصروفات دمياط'!$S$8:$S$5007=12)*'[1]عهد ومصروفات دمياط'!$T$8:$T$5007),0))</f>
        <v/>
      </c>
      <c r="AM65" s="24">
        <f>IF($A65="","",N(AK65)-N(AL65))</f>
        <v/>
      </c>
      <c r="AN65" s="25">
        <f>IF(A65="","",N(D65)+N(G65)+N(J65)+N(M65)+N(P65)+N(S65)+N(V65)+N(Y65)+N(AB65)+N(AE65)+N(AH65)+N(AK65))</f>
        <v/>
      </c>
      <c r="AO65" s="25">
        <f>IF(A65="","",N(E65)+N(H65)+N(K65)+N(N65)+N(Q65)+N(T65)+N(W65)+N(Z65)+N(AC65)+N(AF65)+N(AI65)+N(AL65))</f>
        <v/>
      </c>
      <c r="AP65" s="26">
        <f>IF(A65="","",N(B65)-AO65)</f>
        <v/>
      </c>
      <c r="AQ65">
        <f>IF(A65="",0,(N(F65)&lt;0)+(N(I65)&lt;0)+(N(L65)&lt;0)+(N(O65)&lt;0)+(N(R65)&lt;0)+(N(U65)&lt;0)+(N(X65)&lt;0)+(N(AA65)&lt;0)+(N(AD65)&lt;0)+(N(AG65)&lt;0)+(N(AJ65)&lt;0)+(N(AM65)&lt;0))</f>
        <v/>
      </c>
      <c r="AR65">
        <f>IF(A65="",0,MAX(0,-N(F65))+MAX(0,-N(I65))+MAX(0,-N(L65))+MAX(0,-N(O65))+MAX(0,-N(R65))+MAX(0,-N(U65))+MAX(0,-N(X65))+MAX(0,-N(AA65))+MAX(0,-N(AD65))+MAX(0,-N(AG65))+MAX(0,-N(AJ65))+MAX(0,-N(AM65)))</f>
        <v/>
      </c>
      <c r="AS65">
        <f>IF(A65="",0,IF(OR(N(AP65)&lt;0,AQ65&gt;0),1,0))</f>
        <v/>
      </c>
      <c r="AT65">
        <f>AT64+AS65</f>
        <v/>
      </c>
      <c r="AU65">
        <f>IF(A65="",-1,N(AO65)+ROW()/10000000)</f>
        <v/>
      </c>
    </row>
    <row r="66">
      <c r="A66" s="19" t="n"/>
      <c r="B66" s="20" t="n"/>
      <c r="C66" s="21">
        <f>IF(A66="","",N(B66)/12)</f>
        <v/>
      </c>
      <c r="D66" s="22" t="n"/>
      <c r="E66" s="23">
        <f>IF($A66="","",IFERROR(SUMPRODUCT(('[1]عهد ومصروفات دمياط'!$H$8:$H$5007=$A66)*('[1]عهد ومصروفات دمياط'!$S$8:$S$5007=1)*'[1]عهد ومصروفات دمياط'!$T$8:$T$5007),0))</f>
        <v/>
      </c>
      <c r="F66" s="24">
        <f>IF($A66="","",N(D66)-N(E66))</f>
        <v/>
      </c>
      <c r="G66" s="22" t="n"/>
      <c r="H66" s="23">
        <f>IF($A66="","",IFERROR(SUMPRODUCT(('[1]عهد ومصروفات دمياط'!$H$8:$H$5007=$A66)*('[1]عهد ومصروفات دمياط'!$S$8:$S$5007=2)*'[1]عهد ومصروفات دمياط'!$T$8:$T$5007),0))</f>
        <v/>
      </c>
      <c r="I66" s="24">
        <f>IF($A66="","",N(G66)-N(H66))</f>
        <v/>
      </c>
      <c r="J66" s="22" t="n"/>
      <c r="K66" s="23">
        <f>IF($A66="","",IFERROR(SUMPRODUCT(('[1]عهد ومصروفات دمياط'!$H$8:$H$5007=$A66)*('[1]عهد ومصروفات دمياط'!$S$8:$S$5007=3)*'[1]عهد ومصروفات دمياط'!$T$8:$T$5007),0))</f>
        <v/>
      </c>
      <c r="L66" s="24">
        <f>IF($A66="","",N(J66)-N(K66))</f>
        <v/>
      </c>
      <c r="M66" s="22" t="n"/>
      <c r="N66" s="23">
        <f>IF($A66="","",IFERROR(SUMPRODUCT(('[1]عهد ومصروفات دمياط'!$H$8:$H$5007=$A66)*('[1]عهد ومصروفات دمياط'!$S$8:$S$5007=4)*'[1]عهد ومصروفات دمياط'!$T$8:$T$5007),0))</f>
        <v/>
      </c>
      <c r="O66" s="24">
        <f>IF($A66="","",N(M66)-N(N66))</f>
        <v/>
      </c>
      <c r="P66" s="22" t="n"/>
      <c r="Q66" s="23">
        <f>IF($A66="","",IFERROR(SUMPRODUCT(('[1]عهد ومصروفات دمياط'!$H$8:$H$5007=$A66)*('[1]عهد ومصروفات دمياط'!$S$8:$S$5007=5)*'[1]عهد ومصروفات دمياط'!$T$8:$T$5007),0))</f>
        <v/>
      </c>
      <c r="R66" s="24">
        <f>IF($A66="","",N(P66)-N(Q66))</f>
        <v/>
      </c>
      <c r="S66" s="22" t="n"/>
      <c r="T66" s="23">
        <f>IF($A66="","",IFERROR(SUMPRODUCT(('[1]عهد ومصروفات دمياط'!$H$8:$H$5007=$A66)*('[1]عهد ومصروفات دمياط'!$S$8:$S$5007=6)*'[1]عهد ومصروفات دمياط'!$T$8:$T$5007),0))</f>
        <v/>
      </c>
      <c r="U66" s="24">
        <f>IF($A66="","",N(S66)-N(T66))</f>
        <v/>
      </c>
      <c r="V66" s="22" t="n"/>
      <c r="W66" s="23">
        <f>IF($A66="","",IFERROR(SUMPRODUCT(('[1]عهد ومصروفات دمياط'!$H$8:$H$5007=$A66)*('[1]عهد ومصروفات دمياط'!$S$8:$S$5007=7)*'[1]عهد ومصروفات دمياط'!$T$8:$T$5007),0))</f>
        <v/>
      </c>
      <c r="X66" s="24">
        <f>IF($A66="","",N(V66)-N(W66))</f>
        <v/>
      </c>
      <c r="Y66" s="22" t="n"/>
      <c r="Z66" s="23">
        <f>IF($A66="","",IFERROR(SUMPRODUCT(('[1]عهد ومصروفات دمياط'!$H$8:$H$5007=$A66)*('[1]عهد ومصروفات دمياط'!$S$8:$S$5007=8)*'[1]عهد ومصروفات دمياط'!$T$8:$T$5007),0))</f>
        <v/>
      </c>
      <c r="AA66" s="24">
        <f>IF($A66="","",N(Y66)-N(Z66))</f>
        <v/>
      </c>
      <c r="AB66" s="22" t="n"/>
      <c r="AC66" s="23">
        <f>IF($A66="","",IFERROR(SUMPRODUCT(('[1]عهد ومصروفات دمياط'!$H$8:$H$5007=$A66)*('[1]عهد ومصروفات دمياط'!$S$8:$S$5007=9)*'[1]عهد ومصروفات دمياط'!$T$8:$T$5007),0))</f>
        <v/>
      </c>
      <c r="AD66" s="24">
        <f>IF($A66="","",N(AB66)-N(AC66))</f>
        <v/>
      </c>
      <c r="AE66" s="22" t="n"/>
      <c r="AF66" s="23">
        <f>IF($A66="","",IFERROR(SUMPRODUCT(('[1]عهد ومصروفات دمياط'!$H$8:$H$5007=$A66)*('[1]عهد ومصروفات دمياط'!$S$8:$S$5007=10)*'[1]عهد ومصروفات دمياط'!$T$8:$T$5007),0))</f>
        <v/>
      </c>
      <c r="AG66" s="24">
        <f>IF($A66="","",N(AE66)-N(AF66))</f>
        <v/>
      </c>
      <c r="AH66" s="22" t="n"/>
      <c r="AI66" s="23">
        <f>IF($A66="","",IFERROR(SUMPRODUCT(('[1]عهد ومصروفات دمياط'!$H$8:$H$5007=$A66)*('[1]عهد ومصروفات دمياط'!$S$8:$S$5007=11)*'[1]عهد ومصروفات دمياط'!$T$8:$T$5007),0))</f>
        <v/>
      </c>
      <c r="AJ66" s="24">
        <f>IF($A66="","",N(AH66)-N(AI66))</f>
        <v/>
      </c>
      <c r="AK66" s="22" t="n"/>
      <c r="AL66" s="23">
        <f>IF($A66="","",IFERROR(SUMPRODUCT(('[1]عهد ومصروفات دمياط'!$H$8:$H$5007=$A66)*('[1]عهد ومصروفات دمياط'!$S$8:$S$5007=12)*'[1]عهد ومصروفات دمياط'!$T$8:$T$5007),0))</f>
        <v/>
      </c>
      <c r="AM66" s="24">
        <f>IF($A66="","",N(AK66)-N(AL66))</f>
        <v/>
      </c>
      <c r="AN66" s="25">
        <f>IF(A66="","",N(D66)+N(G66)+N(J66)+N(M66)+N(P66)+N(S66)+N(V66)+N(Y66)+N(AB66)+N(AE66)+N(AH66)+N(AK66))</f>
        <v/>
      </c>
      <c r="AO66" s="25">
        <f>IF(A66="","",N(E66)+N(H66)+N(K66)+N(N66)+N(Q66)+N(T66)+N(W66)+N(Z66)+N(AC66)+N(AF66)+N(AI66)+N(AL66))</f>
        <v/>
      </c>
      <c r="AP66" s="26">
        <f>IF(A66="","",N(B66)-AO66)</f>
        <v/>
      </c>
      <c r="AQ66">
        <f>IF(A66="",0,(N(F66)&lt;0)+(N(I66)&lt;0)+(N(L66)&lt;0)+(N(O66)&lt;0)+(N(R66)&lt;0)+(N(U66)&lt;0)+(N(X66)&lt;0)+(N(AA66)&lt;0)+(N(AD66)&lt;0)+(N(AG66)&lt;0)+(N(AJ66)&lt;0)+(N(AM66)&lt;0))</f>
        <v/>
      </c>
      <c r="AR66">
        <f>IF(A66="",0,MAX(0,-N(F66))+MAX(0,-N(I66))+MAX(0,-N(L66))+MAX(0,-N(O66))+MAX(0,-N(R66))+MAX(0,-N(U66))+MAX(0,-N(X66))+MAX(0,-N(AA66))+MAX(0,-N(AD66))+MAX(0,-N(AG66))+MAX(0,-N(AJ66))+MAX(0,-N(AM66)))</f>
        <v/>
      </c>
      <c r="AS66">
        <f>IF(A66="",0,IF(OR(N(AP66)&lt;0,AQ66&gt;0),1,0))</f>
        <v/>
      </c>
      <c r="AT66">
        <f>AT65+AS66</f>
        <v/>
      </c>
      <c r="AU66">
        <f>IF(A66="",-1,N(AO66)+ROW()/10000000)</f>
        <v/>
      </c>
    </row>
    <row r="67">
      <c r="A67" s="19" t="n"/>
      <c r="B67" s="20" t="n"/>
      <c r="C67" s="21">
        <f>IF(A67="","",N(B67)/12)</f>
        <v/>
      </c>
      <c r="D67" s="22" t="n"/>
      <c r="E67" s="23">
        <f>IF($A67="","",IFERROR(SUMPRODUCT(('[1]عهد ومصروفات دمياط'!$H$8:$H$5007=$A67)*('[1]عهد ومصروفات دمياط'!$S$8:$S$5007=1)*'[1]عهد ومصروفات دمياط'!$T$8:$T$5007),0))</f>
        <v/>
      </c>
      <c r="F67" s="24">
        <f>IF($A67="","",N(D67)-N(E67))</f>
        <v/>
      </c>
      <c r="G67" s="22" t="n"/>
      <c r="H67" s="23">
        <f>IF($A67="","",IFERROR(SUMPRODUCT(('[1]عهد ومصروفات دمياط'!$H$8:$H$5007=$A67)*('[1]عهد ومصروفات دمياط'!$S$8:$S$5007=2)*'[1]عهد ومصروفات دمياط'!$T$8:$T$5007),0))</f>
        <v/>
      </c>
      <c r="I67" s="24">
        <f>IF($A67="","",N(G67)-N(H67))</f>
        <v/>
      </c>
      <c r="J67" s="22" t="n"/>
      <c r="K67" s="23">
        <f>IF($A67="","",IFERROR(SUMPRODUCT(('[1]عهد ومصروفات دمياط'!$H$8:$H$5007=$A67)*('[1]عهد ومصروفات دمياط'!$S$8:$S$5007=3)*'[1]عهد ومصروفات دمياط'!$T$8:$T$5007),0))</f>
        <v/>
      </c>
      <c r="L67" s="24">
        <f>IF($A67="","",N(J67)-N(K67))</f>
        <v/>
      </c>
      <c r="M67" s="22" t="n"/>
      <c r="N67" s="23">
        <f>IF($A67="","",IFERROR(SUMPRODUCT(('[1]عهد ومصروفات دمياط'!$H$8:$H$5007=$A67)*('[1]عهد ومصروفات دمياط'!$S$8:$S$5007=4)*'[1]عهد ومصروفات دمياط'!$T$8:$T$5007),0))</f>
        <v/>
      </c>
      <c r="O67" s="24">
        <f>IF($A67="","",N(M67)-N(N67))</f>
        <v/>
      </c>
      <c r="P67" s="22" t="n"/>
      <c r="Q67" s="23">
        <f>IF($A67="","",IFERROR(SUMPRODUCT(('[1]عهد ومصروفات دمياط'!$H$8:$H$5007=$A67)*('[1]عهد ومصروفات دمياط'!$S$8:$S$5007=5)*'[1]عهد ومصروفات دمياط'!$T$8:$T$5007),0))</f>
        <v/>
      </c>
      <c r="R67" s="24">
        <f>IF($A67="","",N(P67)-N(Q67))</f>
        <v/>
      </c>
      <c r="S67" s="22" t="n"/>
      <c r="T67" s="23">
        <f>IF($A67="","",IFERROR(SUMPRODUCT(('[1]عهد ومصروفات دمياط'!$H$8:$H$5007=$A67)*('[1]عهد ومصروفات دمياط'!$S$8:$S$5007=6)*'[1]عهد ومصروفات دمياط'!$T$8:$T$5007),0))</f>
        <v/>
      </c>
      <c r="U67" s="24">
        <f>IF($A67="","",N(S67)-N(T67))</f>
        <v/>
      </c>
      <c r="V67" s="22" t="n"/>
      <c r="W67" s="23">
        <f>IF($A67="","",IFERROR(SUMPRODUCT(('[1]عهد ومصروفات دمياط'!$H$8:$H$5007=$A67)*('[1]عهد ومصروفات دمياط'!$S$8:$S$5007=7)*'[1]عهد ومصروفات دمياط'!$T$8:$T$5007),0))</f>
        <v/>
      </c>
      <c r="X67" s="24">
        <f>IF($A67="","",N(V67)-N(W67))</f>
        <v/>
      </c>
      <c r="Y67" s="22" t="n"/>
      <c r="Z67" s="23">
        <f>IF($A67="","",IFERROR(SUMPRODUCT(('[1]عهد ومصروفات دمياط'!$H$8:$H$5007=$A67)*('[1]عهد ومصروفات دمياط'!$S$8:$S$5007=8)*'[1]عهد ومصروفات دمياط'!$T$8:$T$5007),0))</f>
        <v/>
      </c>
      <c r="AA67" s="24">
        <f>IF($A67="","",N(Y67)-N(Z67))</f>
        <v/>
      </c>
      <c r="AB67" s="22" t="n"/>
      <c r="AC67" s="23">
        <f>IF($A67="","",IFERROR(SUMPRODUCT(('[1]عهد ومصروفات دمياط'!$H$8:$H$5007=$A67)*('[1]عهد ومصروفات دمياط'!$S$8:$S$5007=9)*'[1]عهد ومصروفات دمياط'!$T$8:$T$5007),0))</f>
        <v/>
      </c>
      <c r="AD67" s="24">
        <f>IF($A67="","",N(AB67)-N(AC67))</f>
        <v/>
      </c>
      <c r="AE67" s="22" t="n"/>
      <c r="AF67" s="23">
        <f>IF($A67="","",IFERROR(SUMPRODUCT(('[1]عهد ومصروفات دمياط'!$H$8:$H$5007=$A67)*('[1]عهد ومصروفات دمياط'!$S$8:$S$5007=10)*'[1]عهد ومصروفات دمياط'!$T$8:$T$5007),0))</f>
        <v/>
      </c>
      <c r="AG67" s="24">
        <f>IF($A67="","",N(AE67)-N(AF67))</f>
        <v/>
      </c>
      <c r="AH67" s="22" t="n"/>
      <c r="AI67" s="23">
        <f>IF($A67="","",IFERROR(SUMPRODUCT(('[1]عهد ومصروفات دمياط'!$H$8:$H$5007=$A67)*('[1]عهد ومصروفات دمياط'!$S$8:$S$5007=11)*'[1]عهد ومصروفات دمياط'!$T$8:$T$5007),0))</f>
        <v/>
      </c>
      <c r="AJ67" s="24">
        <f>IF($A67="","",N(AH67)-N(AI67))</f>
        <v/>
      </c>
      <c r="AK67" s="22" t="n"/>
      <c r="AL67" s="23">
        <f>IF($A67="","",IFERROR(SUMPRODUCT(('[1]عهد ومصروفات دمياط'!$H$8:$H$5007=$A67)*('[1]عهد ومصروفات دمياط'!$S$8:$S$5007=12)*'[1]عهد ومصروفات دمياط'!$T$8:$T$5007),0))</f>
        <v/>
      </c>
      <c r="AM67" s="24">
        <f>IF($A67="","",N(AK67)-N(AL67))</f>
        <v/>
      </c>
      <c r="AN67" s="25">
        <f>IF(A67="","",N(D67)+N(G67)+N(J67)+N(M67)+N(P67)+N(S67)+N(V67)+N(Y67)+N(AB67)+N(AE67)+N(AH67)+N(AK67))</f>
        <v/>
      </c>
      <c r="AO67" s="25">
        <f>IF(A67="","",N(E67)+N(H67)+N(K67)+N(N67)+N(Q67)+N(T67)+N(W67)+N(Z67)+N(AC67)+N(AF67)+N(AI67)+N(AL67))</f>
        <v/>
      </c>
      <c r="AP67" s="26">
        <f>IF(A67="","",N(B67)-AO67)</f>
        <v/>
      </c>
      <c r="AQ67">
        <f>IF(A67="",0,(N(F67)&lt;0)+(N(I67)&lt;0)+(N(L67)&lt;0)+(N(O67)&lt;0)+(N(R67)&lt;0)+(N(U67)&lt;0)+(N(X67)&lt;0)+(N(AA67)&lt;0)+(N(AD67)&lt;0)+(N(AG67)&lt;0)+(N(AJ67)&lt;0)+(N(AM67)&lt;0))</f>
        <v/>
      </c>
      <c r="AR67">
        <f>IF(A67="",0,MAX(0,-N(F67))+MAX(0,-N(I67))+MAX(0,-N(L67))+MAX(0,-N(O67))+MAX(0,-N(R67))+MAX(0,-N(U67))+MAX(0,-N(X67))+MAX(0,-N(AA67))+MAX(0,-N(AD67))+MAX(0,-N(AG67))+MAX(0,-N(AJ67))+MAX(0,-N(AM67)))</f>
        <v/>
      </c>
      <c r="AS67">
        <f>IF(A67="",0,IF(OR(N(AP67)&lt;0,AQ67&gt;0),1,0))</f>
        <v/>
      </c>
      <c r="AT67">
        <f>AT66+AS67</f>
        <v/>
      </c>
      <c r="AU67">
        <f>IF(A67="",-1,N(AO67)+ROW()/10000000)</f>
        <v/>
      </c>
    </row>
    <row r="68">
      <c r="A68" s="27" t="inlineStr">
        <is>
          <t>الإجمالي</t>
        </is>
      </c>
      <c r="B68" s="28">
        <f>SUM(B8:B67)</f>
        <v/>
      </c>
      <c r="C68" s="28">
        <f>SUM(C8:C67)</f>
        <v/>
      </c>
      <c r="D68" s="28">
        <f>SUM(D8:D67)</f>
        <v/>
      </c>
      <c r="E68" s="28">
        <f>SUM(E8:E67)</f>
        <v/>
      </c>
      <c r="F68" s="29">
        <f>SUM(F8:F67)</f>
        <v/>
      </c>
      <c r="G68" s="28">
        <f>SUM(G8:G67)</f>
        <v/>
      </c>
      <c r="H68" s="28">
        <f>SUM(H8:H67)</f>
        <v/>
      </c>
      <c r="I68" s="29">
        <f>SUM(I8:I67)</f>
        <v/>
      </c>
      <c r="J68" s="28">
        <f>SUM(J8:J67)</f>
        <v/>
      </c>
      <c r="K68" s="28">
        <f>SUM(K8:K67)</f>
        <v/>
      </c>
      <c r="L68" s="29">
        <f>SUM(L8:L67)</f>
        <v/>
      </c>
      <c r="M68" s="28">
        <f>SUM(M8:M67)</f>
        <v/>
      </c>
      <c r="N68" s="28">
        <f>SUM(N8:N67)</f>
        <v/>
      </c>
      <c r="O68" s="29">
        <f>SUM(O8:O67)</f>
        <v/>
      </c>
      <c r="P68" s="28">
        <f>SUM(P8:P67)</f>
        <v/>
      </c>
      <c r="Q68" s="28">
        <f>SUM(Q8:Q67)</f>
        <v/>
      </c>
      <c r="R68" s="29">
        <f>SUM(R8:R67)</f>
        <v/>
      </c>
      <c r="S68" s="28">
        <f>SUM(S8:S67)</f>
        <v/>
      </c>
      <c r="T68" s="28">
        <f>SUM(T8:T67)</f>
        <v/>
      </c>
      <c r="U68" s="29">
        <f>SUM(U8:U67)</f>
        <v/>
      </c>
      <c r="V68" s="28">
        <f>SUM(V8:V67)</f>
        <v/>
      </c>
      <c r="W68" s="28">
        <f>SUM(W8:W67)</f>
        <v/>
      </c>
      <c r="X68" s="29">
        <f>SUM(X8:X67)</f>
        <v/>
      </c>
      <c r="Y68" s="28">
        <f>SUM(Y8:Y67)</f>
        <v/>
      </c>
      <c r="Z68" s="28">
        <f>SUM(Z8:Z67)</f>
        <v/>
      </c>
      <c r="AA68" s="29">
        <f>SUM(AA8:AA67)</f>
        <v/>
      </c>
      <c r="AB68" s="28">
        <f>SUM(AB8:AB67)</f>
        <v/>
      </c>
      <c r="AC68" s="28">
        <f>SUM(AC8:AC67)</f>
        <v/>
      </c>
      <c r="AD68" s="29">
        <f>SUM(AD8:AD67)</f>
        <v/>
      </c>
      <c r="AE68" s="28">
        <f>SUM(AE8:AE67)</f>
        <v/>
      </c>
      <c r="AF68" s="28">
        <f>SUM(AF8:AF67)</f>
        <v/>
      </c>
      <c r="AG68" s="29">
        <f>SUM(AG8:AG67)</f>
        <v/>
      </c>
      <c r="AH68" s="28">
        <f>SUM(AH8:AH67)</f>
        <v/>
      </c>
      <c r="AI68" s="28">
        <f>SUM(AI8:AI67)</f>
        <v/>
      </c>
      <c r="AJ68" s="29">
        <f>SUM(AJ8:AJ67)</f>
        <v/>
      </c>
      <c r="AK68" s="28">
        <f>SUM(AK8:AK67)</f>
        <v/>
      </c>
      <c r="AL68" s="28">
        <f>SUM(AL8:AL67)</f>
        <v/>
      </c>
      <c r="AM68" s="29">
        <f>SUM(AM8:AM67)</f>
        <v/>
      </c>
      <c r="AN68" s="28">
        <f>SUM(AN8:AN67)</f>
        <v/>
      </c>
      <c r="AO68" s="28">
        <f>SUM(AO8:AO67)</f>
        <v/>
      </c>
      <c r="AP68" s="29">
        <f>SUM(AP8:AP67)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1" password="ECB1"/>
  <mergeCells count="28">
    <mergeCell ref="J6:L6"/>
    <mergeCell ref="A4"/>
    <mergeCell ref="A1:AP1"/>
    <mergeCell ref="G6:I6"/>
    <mergeCell ref="B3:C3"/>
    <mergeCell ref="B6"/>
    <mergeCell ref="P6:R6"/>
    <mergeCell ref="G3:I3"/>
    <mergeCell ref="J4:L4"/>
    <mergeCell ref="M6:O6"/>
    <mergeCell ref="V6:X6"/>
    <mergeCell ref="AH6:AJ6"/>
    <mergeCell ref="S6:U6"/>
    <mergeCell ref="Y6:AA6"/>
    <mergeCell ref="D4:F4"/>
    <mergeCell ref="D3:F3"/>
    <mergeCell ref="G4:I4"/>
    <mergeCell ref="C6"/>
    <mergeCell ref="J3:L3"/>
    <mergeCell ref="A2:AP2"/>
    <mergeCell ref="AE6:AG6"/>
    <mergeCell ref="AK6:AM6"/>
    <mergeCell ref="A6"/>
    <mergeCell ref="AB6:AD6"/>
    <mergeCell ref="AN6:AP6"/>
    <mergeCell ref="A3"/>
    <mergeCell ref="D6:F6"/>
    <mergeCell ref="B4:C4"/>
  </mergeCells>
  <conditionalFormatting sqref="F8:F68">
    <cfRule type="expression" priority="1" dxfId="0">
      <formula>AND(ISNUMBER(F8),F8&lt;0)</formula>
    </cfRule>
  </conditionalFormatting>
  <conditionalFormatting sqref="I8:I68">
    <cfRule type="expression" priority="2" dxfId="0">
      <formula>AND(ISNUMBER(I8),I8&lt;0)</formula>
    </cfRule>
  </conditionalFormatting>
  <conditionalFormatting sqref="L8:L68">
    <cfRule type="expression" priority="3" dxfId="0">
      <formula>AND(ISNUMBER(L8),L8&lt;0)</formula>
    </cfRule>
  </conditionalFormatting>
  <conditionalFormatting sqref="O8:O68">
    <cfRule type="expression" priority="4" dxfId="0">
      <formula>AND(ISNUMBER(O8),O8&lt;0)</formula>
    </cfRule>
  </conditionalFormatting>
  <conditionalFormatting sqref="R8:R68">
    <cfRule type="expression" priority="5" dxfId="0">
      <formula>AND(ISNUMBER(R8),R8&lt;0)</formula>
    </cfRule>
  </conditionalFormatting>
  <conditionalFormatting sqref="U8:U68">
    <cfRule type="expression" priority="6" dxfId="0">
      <formula>AND(ISNUMBER(U8),U8&lt;0)</formula>
    </cfRule>
  </conditionalFormatting>
  <conditionalFormatting sqref="X8:X68">
    <cfRule type="expression" priority="7" dxfId="0">
      <formula>AND(ISNUMBER(X8),X8&lt;0)</formula>
    </cfRule>
  </conditionalFormatting>
  <conditionalFormatting sqref="AA8:AA68">
    <cfRule type="expression" priority="8" dxfId="0">
      <formula>AND(ISNUMBER(AA8),AA8&lt;0)</formula>
    </cfRule>
  </conditionalFormatting>
  <conditionalFormatting sqref="AD8:AD68">
    <cfRule type="expression" priority="9" dxfId="0">
      <formula>AND(ISNUMBER(AD8),AD8&lt;0)</formula>
    </cfRule>
  </conditionalFormatting>
  <conditionalFormatting sqref="AG8:AG68">
    <cfRule type="expression" priority="10" dxfId="0">
      <formula>AND(ISNUMBER(AG8),AG8&lt;0)</formula>
    </cfRule>
  </conditionalFormatting>
  <conditionalFormatting sqref="AJ8:AJ68">
    <cfRule type="expression" priority="11" dxfId="0">
      <formula>AND(ISNUMBER(AJ8),AJ8&lt;0)</formula>
    </cfRule>
  </conditionalFormatting>
  <conditionalFormatting sqref="AM8:AM68">
    <cfRule type="expression" priority="12" dxfId="0">
      <formula>AND(ISNUMBER(AM8),AM8&lt;0)</formula>
    </cfRule>
  </conditionalFormatting>
  <conditionalFormatting sqref="AP8:AP68">
    <cfRule type="expression" priority="13" dxfId="0">
      <formula>AND(ISNUMBER(AP8),AP8&lt;0)</formula>
    </cfRule>
  </conditionalFormatting>
  <conditionalFormatting sqref="AN8:AN67">
    <cfRule type="expression" priority="14" dxfId="1">
      <formula>AND($A8&lt;&gt;"",ABS(N(AN8)-N($B8))&gt;0.5)</formula>
    </cfRule>
  </conditionalFormatting>
  <conditionalFormatting sqref="A8:A67">
    <cfRule type="expression" priority="15" dxfId="0">
      <formula>$AS8=1</formula>
    </cfRule>
  </conditionalFormatting>
  <dataValidations count="3">
    <dataValidation sqref="B8:B67" showDropDown="0" showInputMessage="0" showErrorMessage="1" allowBlank="1" errorTitle="إدخال غير صحيح" error="أدخل رقمًا موجبًا" type="decimal" errorStyle="stop" operator="greaterThanOrEqual">
      <formula1>0</formula1>
    </dataValidation>
    <dataValidation sqref="D8:AM67" showDropDown="0" showInputMessage="0" showErrorMessage="1" allowBlank="1" errorTitle="إدخال غير صحيح" error="أدخل رقمًا موجبًا" type="decimal" errorStyle="stop" operator="greaterThanOrEqual">
      <formula1>0</formula1>
    </dataValidation>
    <dataValidation sqref="A8:A67" showDropDown="0" showInputMessage="0" showErrorMessage="1" allowBlank="1" errorTitle="إدخال غير صحيح" error="اسم البند مكرر" type="custom" errorStyle="stop">
      <formula1>COUNTIF($A$8:$A$67,A8)=1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AU68"/>
  <sheetViews>
    <sheetView showGridLines="0" rightToLeft="1" zoomScale="85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2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  <col width="10.5" customWidth="1" min="39" max="39"/>
    <col width="14" customWidth="1" min="40" max="40"/>
    <col width="14" customWidth="1" min="41" max="41"/>
    <col width="14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</cols>
  <sheetData>
    <row r="1" ht="28" customHeight="1">
      <c r="A1" s="1" t="inlineStr">
        <is>
          <t>موازنة مدرسة ابدأ الوطنية – بدر  |  السنة المالية سبتمبر 2026 – أغسطس 2027  (ج.م)</t>
        </is>
      </c>
    </row>
    <row r="2" ht="30" customHeight="1">
      <c r="A2" s="2" t="inlineStr">
        <is>
          <t>الخلايا الصفراء الفاتحة فقط للإدخال (البند، المخصص السنوي، مخصص كل شهر). «المنصرف» يُحسب تلقائيًا من ملف العهد والمصروفات (شيت «عهد ومصروفات بدر» – المصروفات التي وافق عليها المدير المباشر). المتبقي/العجز = المخصص − المنصرف، والعجز يظهر بالأحمر. لإضافة بند جديد اكتبه في أول صف فارغ.</t>
        </is>
      </c>
    </row>
    <row r="3" ht="22" customHeight="1">
      <c r="A3" s="3" t="inlineStr">
        <is>
          <t>المخصص السنوي</t>
        </is>
      </c>
      <c r="B3" s="4" t="inlineStr">
        <is>
          <t>إجمالي المنصرف</t>
        </is>
      </c>
      <c r="C3" s="5" t="n"/>
      <c r="D3" s="6" t="inlineStr">
        <is>
          <t>المتبقي / العجز السنوي</t>
        </is>
      </c>
      <c r="E3" s="5" t="n"/>
      <c r="F3" s="5" t="n"/>
      <c r="G3" s="7" t="inlineStr">
        <is>
          <t>نسبة الصرف من الموازنة</t>
        </is>
      </c>
      <c r="H3" s="5" t="n"/>
      <c r="I3" s="5" t="n"/>
      <c r="J3" s="8" t="inlineStr">
        <is>
          <t>بنود بها عجز</t>
        </is>
      </c>
      <c r="K3" s="5" t="n"/>
      <c r="L3" s="5" t="n"/>
    </row>
    <row r="4" ht="28" customHeight="1">
      <c r="A4" s="9">
        <f>SUM($B$8:$B$67)</f>
        <v/>
      </c>
      <c r="B4" s="10">
        <f>SUM($AO$8:$AO$67)</f>
        <v/>
      </c>
      <c r="C4" s="5" t="n"/>
      <c r="D4" s="11">
        <f>SUM($B$8:$B$67)-SUM($AO$8:$AO$67)</f>
        <v/>
      </c>
      <c r="E4" s="5" t="n"/>
      <c r="F4" s="5" t="n"/>
      <c r="G4" s="12">
        <f>IF(SUM($B$8:$B$67)=0,0,SUM($AO$8:$AO$67)/SUM($B$8:$B$67))</f>
        <v/>
      </c>
      <c r="H4" s="5" t="n"/>
      <c r="I4" s="5" t="n"/>
      <c r="J4" s="13">
        <f>COUNTIF($AS$8:$AS$67,1)</f>
        <v/>
      </c>
      <c r="K4" s="5" t="n"/>
      <c r="L4" s="5" t="n"/>
    </row>
    <row r="5">
      <c r="M5" s="14" t="inlineStr">
        <is>
          <t>■ برتقالي في «إجمالي المخصص السنوي» = مجموع الأشهر لا يساوي المخصص السنوي (من الملف الأصلي) · ■ أحمر في اسم البند = يوجد عجز</t>
        </is>
      </c>
    </row>
    <row r="6" ht="20" customHeight="1">
      <c r="A6" s="15" t="n"/>
      <c r="B6" s="15" t="n"/>
      <c r="C6" s="15" t="n"/>
      <c r="D6" s="16" t="inlineStr">
        <is>
          <t>سبتمبر 2026</t>
        </is>
      </c>
      <c r="E6" s="5" t="n"/>
      <c r="F6" s="5" t="n"/>
      <c r="G6" s="17" t="inlineStr">
        <is>
          <t>أكتوبر 2026</t>
        </is>
      </c>
      <c r="H6" s="5" t="n"/>
      <c r="I6" s="5" t="n"/>
      <c r="J6" s="16" t="inlineStr">
        <is>
          <t>نوفمبر 2026</t>
        </is>
      </c>
      <c r="K6" s="5" t="n"/>
      <c r="L6" s="5" t="n"/>
      <c r="M6" s="17" t="inlineStr">
        <is>
          <t>ديسمبر 2026</t>
        </is>
      </c>
      <c r="N6" s="5" t="n"/>
      <c r="O6" s="5" t="n"/>
      <c r="P6" s="16" t="inlineStr">
        <is>
          <t>يناير 2027</t>
        </is>
      </c>
      <c r="Q6" s="5" t="n"/>
      <c r="R6" s="5" t="n"/>
      <c r="S6" s="17" t="inlineStr">
        <is>
          <t>فبراير 2027</t>
        </is>
      </c>
      <c r="T6" s="5" t="n"/>
      <c r="U6" s="5" t="n"/>
      <c r="V6" s="16" t="inlineStr">
        <is>
          <t>مارس 2027</t>
        </is>
      </c>
      <c r="W6" s="5" t="n"/>
      <c r="X6" s="5" t="n"/>
      <c r="Y6" s="17" t="inlineStr">
        <is>
          <t>أبريل 2027</t>
        </is>
      </c>
      <c r="Z6" s="5" t="n"/>
      <c r="AA6" s="5" t="n"/>
      <c r="AB6" s="16" t="inlineStr">
        <is>
          <t>مايو 2027</t>
        </is>
      </c>
      <c r="AC6" s="5" t="n"/>
      <c r="AD6" s="5" t="n"/>
      <c r="AE6" s="17" t="inlineStr">
        <is>
          <t>يونيو 2027</t>
        </is>
      </c>
      <c r="AF6" s="5" t="n"/>
      <c r="AG6" s="5" t="n"/>
      <c r="AH6" s="16" t="inlineStr">
        <is>
          <t>يوليو 2027</t>
        </is>
      </c>
      <c r="AI6" s="5" t="n"/>
      <c r="AJ6" s="5" t="n"/>
      <c r="AK6" s="17" t="inlineStr">
        <is>
          <t>أغسطس 2027</t>
        </is>
      </c>
      <c r="AL6" s="5" t="n"/>
      <c r="AM6" s="5" t="n"/>
      <c r="AN6" s="18" t="inlineStr">
        <is>
          <t>الإجمالي السنوي</t>
        </is>
      </c>
    </row>
    <row r="7" ht="40" customHeight="1">
      <c r="A7" s="3" t="inlineStr">
        <is>
          <t>البند</t>
        </is>
      </c>
      <c r="B7" s="3" t="inlineStr">
        <is>
          <t>المخصص السنوي</t>
        </is>
      </c>
      <c r="C7" s="3" t="inlineStr">
        <is>
          <t>المخصص الشهري</t>
        </is>
      </c>
      <c r="D7" s="3" t="inlineStr">
        <is>
          <t>سبتمبر 2026 مخصص</t>
        </is>
      </c>
      <c r="E7" s="3" t="inlineStr">
        <is>
          <t>سبتمبر 2026 منصرف</t>
        </is>
      </c>
      <c r="F7" s="3" t="inlineStr">
        <is>
          <t>سبتمبر 2026 متبقي/عجز</t>
        </is>
      </c>
      <c r="G7" s="3" t="inlineStr">
        <is>
          <t>أكتوبر 2026 مخصص</t>
        </is>
      </c>
      <c r="H7" s="3" t="inlineStr">
        <is>
          <t>أكتوبر 2026 منصرف</t>
        </is>
      </c>
      <c r="I7" s="3" t="inlineStr">
        <is>
          <t>أكتوبر 2026 متبقي/عجز</t>
        </is>
      </c>
      <c r="J7" s="3" t="inlineStr">
        <is>
          <t>نوفمبر 2026 مخصص</t>
        </is>
      </c>
      <c r="K7" s="3" t="inlineStr">
        <is>
          <t>نوفمبر 2026 منصرف</t>
        </is>
      </c>
      <c r="L7" s="3" t="inlineStr">
        <is>
          <t>نوفمبر 2026 متبقي/عجز</t>
        </is>
      </c>
      <c r="M7" s="3" t="inlineStr">
        <is>
          <t>ديسمبر 2026 مخصص</t>
        </is>
      </c>
      <c r="N7" s="3" t="inlineStr">
        <is>
          <t>ديسمبر 2026 منصرف</t>
        </is>
      </c>
      <c r="O7" s="3" t="inlineStr">
        <is>
          <t>ديسمبر 2026 متبقي/عجز</t>
        </is>
      </c>
      <c r="P7" s="3" t="inlineStr">
        <is>
          <t>يناير 2027 مخصص</t>
        </is>
      </c>
      <c r="Q7" s="3" t="inlineStr">
        <is>
          <t>يناير 2027 منصرف</t>
        </is>
      </c>
      <c r="R7" s="3" t="inlineStr">
        <is>
          <t>يناير 2027 متبقي/عجز</t>
        </is>
      </c>
      <c r="S7" s="3" t="inlineStr">
        <is>
          <t>فبراير 2027 مخصص</t>
        </is>
      </c>
      <c r="T7" s="3" t="inlineStr">
        <is>
          <t>فبراير 2027 منصرف</t>
        </is>
      </c>
      <c r="U7" s="3" t="inlineStr">
        <is>
          <t>فبراير 2027 متبقي/عجز</t>
        </is>
      </c>
      <c r="V7" s="3" t="inlineStr">
        <is>
          <t>مارس 2027 مخصص</t>
        </is>
      </c>
      <c r="W7" s="3" t="inlineStr">
        <is>
          <t>مارس 2027 منصرف</t>
        </is>
      </c>
      <c r="X7" s="3" t="inlineStr">
        <is>
          <t>مارس 2027 متبقي/عجز</t>
        </is>
      </c>
      <c r="Y7" s="3" t="inlineStr">
        <is>
          <t>أبريل 2027 مخصص</t>
        </is>
      </c>
      <c r="Z7" s="3" t="inlineStr">
        <is>
          <t>أبريل 2027 منصرف</t>
        </is>
      </c>
      <c r="AA7" s="3" t="inlineStr">
        <is>
          <t>أبريل 2027 متبقي/عجز</t>
        </is>
      </c>
      <c r="AB7" s="3" t="inlineStr">
        <is>
          <t>مايو 2027 مخصص</t>
        </is>
      </c>
      <c r="AC7" s="3" t="inlineStr">
        <is>
          <t>مايو 2027 منصرف</t>
        </is>
      </c>
      <c r="AD7" s="3" t="inlineStr">
        <is>
          <t>مايو 2027 متبقي/عجز</t>
        </is>
      </c>
      <c r="AE7" s="3" t="inlineStr">
        <is>
          <t>يونيو 2027 مخصص</t>
        </is>
      </c>
      <c r="AF7" s="3" t="inlineStr">
        <is>
          <t>يونيو 2027 منصرف</t>
        </is>
      </c>
      <c r="AG7" s="3" t="inlineStr">
        <is>
          <t>يونيو 2027 متبقي/عجز</t>
        </is>
      </c>
      <c r="AH7" s="3" t="inlineStr">
        <is>
          <t>يوليو 2027 مخصص</t>
        </is>
      </c>
      <c r="AI7" s="3" t="inlineStr">
        <is>
          <t>يوليو 2027 منصرف</t>
        </is>
      </c>
      <c r="AJ7" s="3" t="inlineStr">
        <is>
          <t>يوليو 2027 متبقي/عجز</t>
        </is>
      </c>
      <c r="AK7" s="3" t="inlineStr">
        <is>
          <t>أغسطس 2027 مخصص</t>
        </is>
      </c>
      <c r="AL7" s="3" t="inlineStr">
        <is>
          <t>أغسطس 2027 منصرف</t>
        </is>
      </c>
      <c r="AM7" s="3" t="inlineStr">
        <is>
          <t>أغسطس 2027 متبقي/عجز</t>
        </is>
      </c>
      <c r="AN7" s="3" t="inlineStr">
        <is>
          <t>إجمالي المخصص السنوي</t>
        </is>
      </c>
      <c r="AO7" s="3" t="inlineStr">
        <is>
          <t>إجمالي المنصرف السنوي</t>
        </is>
      </c>
      <c r="AP7" s="3" t="inlineStr">
        <is>
          <t>المتبقي أو العجز السنوي</t>
        </is>
      </c>
      <c r="AQ7" t="inlineStr">
        <is>
          <t>def_months</t>
        </is>
      </c>
      <c r="AR7" t="inlineStr">
        <is>
          <t>overspend</t>
        </is>
      </c>
      <c r="AS7" t="inlineStr">
        <is>
          <t>def_flag</t>
        </is>
      </c>
      <c r="AT7" t="inlineStr">
        <is>
          <t>def_cum</t>
        </is>
      </c>
      <c r="AU7" t="inlineStr">
        <is>
          <t>top_key</t>
        </is>
      </c>
    </row>
    <row r="8">
      <c r="A8" s="19" t="inlineStr">
        <is>
          <t>رواتب وحوافز</t>
        </is>
      </c>
      <c r="B8" s="20" t="n">
        <v>4242000</v>
      </c>
      <c r="C8" s="21">
        <f>IF(A8="","",N(B8)/12)</f>
        <v/>
      </c>
      <c r="D8" s="22" t="n">
        <v>336407.5</v>
      </c>
      <c r="E8" s="23">
        <f>IF($A8="","",IFERROR(SUMPRODUCT(('[1]عهد ومصروفات بدر'!$H$8:$H$5007=$A8)*('[1]عهد ومصروفات بدر'!$S$8:$S$5007=1)*'[1]عهد ومصروفات بدر'!$T$8:$T$5007),0))</f>
        <v/>
      </c>
      <c r="F8" s="24">
        <f>IF($A8="","",N(D8)-N(E8))</f>
        <v/>
      </c>
      <c r="G8" s="22" t="n">
        <v>336407.5</v>
      </c>
      <c r="H8" s="23">
        <f>IF($A8="","",IFERROR(SUMPRODUCT(('[1]عهد ومصروفات بدر'!$H$8:$H$5007=$A8)*('[1]عهد ومصروفات بدر'!$S$8:$S$5007=2)*'[1]عهد ومصروفات بدر'!$T$8:$T$5007),0))</f>
        <v/>
      </c>
      <c r="I8" s="24">
        <f>IF($A8="","",N(G8)-N(H8))</f>
        <v/>
      </c>
      <c r="J8" s="22" t="n">
        <v>336407.5</v>
      </c>
      <c r="K8" s="23">
        <f>IF($A8="","",IFERROR(SUMPRODUCT(('[1]عهد ومصروفات بدر'!$H$8:$H$5007=$A8)*('[1]عهد ومصروفات بدر'!$S$8:$S$5007=3)*'[1]عهد ومصروفات بدر'!$T$8:$T$5007),0))</f>
        <v/>
      </c>
      <c r="L8" s="24">
        <f>IF($A8="","",N(J8)-N(K8))</f>
        <v/>
      </c>
      <c r="M8" s="22" t="n">
        <v>336407.5</v>
      </c>
      <c r="N8" s="23">
        <f>IF($A8="","",IFERROR(SUMPRODUCT(('[1]عهد ومصروفات بدر'!$H$8:$H$5007=$A8)*('[1]عهد ومصروفات بدر'!$S$8:$S$5007=4)*'[1]عهد ومصروفات بدر'!$T$8:$T$5007),0))</f>
        <v/>
      </c>
      <c r="O8" s="24">
        <f>IF($A8="","",N(M8)-N(N8))</f>
        <v/>
      </c>
      <c r="P8" s="22" t="n">
        <v>336407.5</v>
      </c>
      <c r="Q8" s="23">
        <f>IF($A8="","",IFERROR(SUMPRODUCT(('[1]عهد ومصروفات بدر'!$H$8:$H$5007=$A8)*('[1]عهد ومصروفات بدر'!$S$8:$S$5007=5)*'[1]عهد ومصروفات بدر'!$T$8:$T$5007),0))</f>
        <v/>
      </c>
      <c r="R8" s="24">
        <f>IF($A8="","",N(P8)-N(Q8))</f>
        <v/>
      </c>
      <c r="S8" s="22" t="n">
        <v>336407.5</v>
      </c>
      <c r="T8" s="23">
        <f>IF($A8="","",IFERROR(SUMPRODUCT(('[1]عهد ومصروفات بدر'!$H$8:$H$5007=$A8)*('[1]عهد ومصروفات بدر'!$S$8:$S$5007=6)*'[1]عهد ومصروفات بدر'!$T$8:$T$5007),0))</f>
        <v/>
      </c>
      <c r="U8" s="24">
        <f>IF($A8="","",N(S8)-N(T8))</f>
        <v/>
      </c>
      <c r="V8" s="22" t="n">
        <v>336407.5</v>
      </c>
      <c r="W8" s="23">
        <f>IF($A8="","",IFERROR(SUMPRODUCT(('[1]عهد ومصروفات بدر'!$H$8:$H$5007=$A8)*('[1]عهد ومصروفات بدر'!$S$8:$S$5007=7)*'[1]عهد ومصروفات بدر'!$T$8:$T$5007),0))</f>
        <v/>
      </c>
      <c r="X8" s="24">
        <f>IF($A8="","",N(V8)-N(W8))</f>
        <v/>
      </c>
      <c r="Y8" s="22" t="n">
        <v>336407.5</v>
      </c>
      <c r="Z8" s="23">
        <f>IF($A8="","",IFERROR(SUMPRODUCT(('[1]عهد ومصروفات بدر'!$H$8:$H$5007=$A8)*('[1]عهد ومصروفات بدر'!$S$8:$S$5007=8)*'[1]عهد ومصروفات بدر'!$T$8:$T$5007),0))</f>
        <v/>
      </c>
      <c r="AA8" s="24">
        <f>IF($A8="","",N(Y8)-N(Z8))</f>
        <v/>
      </c>
      <c r="AB8" s="22" t="n">
        <v>336407.5</v>
      </c>
      <c r="AC8" s="23">
        <f>IF($A8="","",IFERROR(SUMPRODUCT(('[1]عهد ومصروفات بدر'!$H$8:$H$5007=$A8)*('[1]عهد ومصروفات بدر'!$S$8:$S$5007=9)*'[1]عهد ومصروفات بدر'!$T$8:$T$5007),0))</f>
        <v/>
      </c>
      <c r="AD8" s="24">
        <f>IF($A8="","",N(AB8)-N(AC8))</f>
        <v/>
      </c>
      <c r="AE8" s="22" t="n">
        <v>336407.5</v>
      </c>
      <c r="AF8" s="23">
        <f>IF($A8="","",IFERROR(SUMPRODUCT(('[1]عهد ومصروفات بدر'!$H$8:$H$5007=$A8)*('[1]عهد ومصروفات بدر'!$S$8:$S$5007=10)*'[1]عهد ومصروفات بدر'!$T$8:$T$5007),0))</f>
        <v/>
      </c>
      <c r="AG8" s="24">
        <f>IF($A8="","",N(AE8)-N(AF8))</f>
        <v/>
      </c>
      <c r="AH8" s="22" t="n">
        <v>336407.5</v>
      </c>
      <c r="AI8" s="23">
        <f>IF($A8="","",IFERROR(SUMPRODUCT(('[1]عهد ومصروفات بدر'!$H$8:$H$5007=$A8)*('[1]عهد ومصروفات بدر'!$S$8:$S$5007=11)*'[1]عهد ومصروفات بدر'!$T$8:$T$5007),0))</f>
        <v/>
      </c>
      <c r="AJ8" s="24">
        <f>IF($A8="","",N(AH8)-N(AI8))</f>
        <v/>
      </c>
      <c r="AK8" s="22" t="n">
        <v>336407.5</v>
      </c>
      <c r="AL8" s="23">
        <f>IF($A8="","",IFERROR(SUMPRODUCT(('[1]عهد ومصروفات بدر'!$H$8:$H$5007=$A8)*('[1]عهد ومصروفات بدر'!$S$8:$S$5007=12)*'[1]عهد ومصروفات بدر'!$T$8:$T$5007),0))</f>
        <v/>
      </c>
      <c r="AM8" s="24">
        <f>IF($A8="","",N(AK8)-N(AL8))</f>
        <v/>
      </c>
      <c r="AN8" s="25">
        <f>IF(A8="","",N(D8)+N(G8)+N(J8)+N(M8)+N(P8)+N(S8)+N(V8)+N(Y8)+N(AB8)+N(AE8)+N(AH8)+N(AK8))</f>
        <v/>
      </c>
      <c r="AO8" s="25">
        <f>IF(A8="","",N(E8)+N(H8)+N(K8)+N(N8)+N(Q8)+N(T8)+N(W8)+N(Z8)+N(AC8)+N(AF8)+N(AI8)+N(AL8))</f>
        <v/>
      </c>
      <c r="AP8" s="26">
        <f>IF(A8="","",N(B8)-AO8)</f>
        <v/>
      </c>
      <c r="AQ8">
        <f>IF(A8="",0,(N(F8)&lt;0)+(N(I8)&lt;0)+(N(L8)&lt;0)+(N(O8)&lt;0)+(N(R8)&lt;0)+(N(U8)&lt;0)+(N(X8)&lt;0)+(N(AA8)&lt;0)+(N(AD8)&lt;0)+(N(AG8)&lt;0)+(N(AJ8)&lt;0)+(N(AM8)&lt;0))</f>
        <v/>
      </c>
      <c r="AR8">
        <f>IF(A8="",0,MAX(0,-N(F8))+MAX(0,-N(I8))+MAX(0,-N(L8))+MAX(0,-N(O8))+MAX(0,-N(R8))+MAX(0,-N(U8))+MAX(0,-N(X8))+MAX(0,-N(AA8))+MAX(0,-N(AD8))+MAX(0,-N(AG8))+MAX(0,-N(AJ8))+MAX(0,-N(AM8)))</f>
        <v/>
      </c>
      <c r="AS8">
        <f>IF(A8="",0,IF(OR(N(AP8)&lt;0,AQ8&gt;0),1,0))</f>
        <v/>
      </c>
      <c r="AT8">
        <f>AS8</f>
        <v/>
      </c>
      <c r="AU8">
        <f>IF(A8="",-1,N(AO8)+ROW()/10000000)</f>
        <v/>
      </c>
    </row>
    <row r="9">
      <c r="A9" s="19" t="inlineStr">
        <is>
          <t>تدريب المعلمين</t>
        </is>
      </c>
      <c r="B9" s="20" t="n">
        <v>150000</v>
      </c>
      <c r="C9" s="21">
        <f>IF(A9="","",N(B9)/12)</f>
        <v/>
      </c>
      <c r="D9" s="22" t="n">
        <v>0</v>
      </c>
      <c r="E9" s="23">
        <f>IF($A9="","",IFERROR(SUMPRODUCT(('[1]عهد ومصروفات بدر'!$H$8:$H$5007=$A9)*('[1]عهد ومصروفات بدر'!$S$8:$S$5007=1)*'[1]عهد ومصروفات بدر'!$T$8:$T$5007),0))</f>
        <v/>
      </c>
      <c r="F9" s="24">
        <f>IF($A9="","",N(D9)-N(E9))</f>
        <v/>
      </c>
      <c r="G9" s="22" t="n">
        <v>0</v>
      </c>
      <c r="H9" s="23">
        <f>IF($A9="","",IFERROR(SUMPRODUCT(('[1]عهد ومصروفات بدر'!$H$8:$H$5007=$A9)*('[1]عهد ومصروفات بدر'!$S$8:$S$5007=2)*'[1]عهد ومصروفات بدر'!$T$8:$T$5007),0))</f>
        <v/>
      </c>
      <c r="I9" s="24">
        <f>IF($A9="","",N(G9)-N(H9))</f>
        <v/>
      </c>
      <c r="J9" s="22" t="n">
        <v>0</v>
      </c>
      <c r="K9" s="23">
        <f>IF($A9="","",IFERROR(SUMPRODUCT(('[1]عهد ومصروفات بدر'!$H$8:$H$5007=$A9)*('[1]عهد ومصروفات بدر'!$S$8:$S$5007=3)*'[1]عهد ومصروفات بدر'!$T$8:$T$5007),0))</f>
        <v/>
      </c>
      <c r="L9" s="24">
        <f>IF($A9="","",N(J9)-N(K9))</f>
        <v/>
      </c>
      <c r="M9" s="22" t="n">
        <v>0</v>
      </c>
      <c r="N9" s="23">
        <f>IF($A9="","",IFERROR(SUMPRODUCT(('[1]عهد ومصروفات بدر'!$H$8:$H$5007=$A9)*('[1]عهد ومصروفات بدر'!$S$8:$S$5007=4)*'[1]عهد ومصروفات بدر'!$T$8:$T$5007),0))</f>
        <v/>
      </c>
      <c r="O9" s="24">
        <f>IF($A9="","",N(M9)-N(N9))</f>
        <v/>
      </c>
      <c r="P9" s="22" t="n">
        <v>75000</v>
      </c>
      <c r="Q9" s="23">
        <f>IF($A9="","",IFERROR(SUMPRODUCT(('[1]عهد ومصروفات بدر'!$H$8:$H$5007=$A9)*('[1]عهد ومصروفات بدر'!$S$8:$S$5007=5)*'[1]عهد ومصروفات بدر'!$T$8:$T$5007),0))</f>
        <v/>
      </c>
      <c r="R9" s="24">
        <f>IF($A9="","",N(P9)-N(Q9))</f>
        <v/>
      </c>
      <c r="S9" s="22" t="n">
        <v>0</v>
      </c>
      <c r="T9" s="23">
        <f>IF($A9="","",IFERROR(SUMPRODUCT(('[1]عهد ومصروفات بدر'!$H$8:$H$5007=$A9)*('[1]عهد ومصروفات بدر'!$S$8:$S$5007=6)*'[1]عهد ومصروفات بدر'!$T$8:$T$5007),0))</f>
        <v/>
      </c>
      <c r="U9" s="24">
        <f>IF($A9="","",N(S9)-N(T9))</f>
        <v/>
      </c>
      <c r="V9" s="22" t="n">
        <v>0</v>
      </c>
      <c r="W9" s="23">
        <f>IF($A9="","",IFERROR(SUMPRODUCT(('[1]عهد ومصروفات بدر'!$H$8:$H$5007=$A9)*('[1]عهد ومصروفات بدر'!$S$8:$S$5007=7)*'[1]عهد ومصروفات بدر'!$T$8:$T$5007),0))</f>
        <v/>
      </c>
      <c r="X9" s="24">
        <f>IF($A9="","",N(V9)-N(W9))</f>
        <v/>
      </c>
      <c r="Y9" s="22" t="n">
        <v>0</v>
      </c>
      <c r="Z9" s="23">
        <f>IF($A9="","",IFERROR(SUMPRODUCT(('[1]عهد ومصروفات بدر'!$H$8:$H$5007=$A9)*('[1]عهد ومصروفات بدر'!$S$8:$S$5007=8)*'[1]عهد ومصروفات بدر'!$T$8:$T$5007),0))</f>
        <v/>
      </c>
      <c r="AA9" s="24">
        <f>IF($A9="","",N(Y9)-N(Z9))</f>
        <v/>
      </c>
      <c r="AB9" s="22" t="n">
        <v>0</v>
      </c>
      <c r="AC9" s="23">
        <f>IF($A9="","",IFERROR(SUMPRODUCT(('[1]عهد ومصروفات بدر'!$H$8:$H$5007=$A9)*('[1]عهد ومصروفات بدر'!$S$8:$S$5007=9)*'[1]عهد ومصروفات بدر'!$T$8:$T$5007),0))</f>
        <v/>
      </c>
      <c r="AD9" s="24">
        <f>IF($A9="","",N(AB9)-N(AC9))</f>
        <v/>
      </c>
      <c r="AE9" s="22" t="n">
        <v>0</v>
      </c>
      <c r="AF9" s="23">
        <f>IF($A9="","",IFERROR(SUMPRODUCT(('[1]عهد ومصروفات بدر'!$H$8:$H$5007=$A9)*('[1]عهد ومصروفات بدر'!$S$8:$S$5007=10)*'[1]عهد ومصروفات بدر'!$T$8:$T$5007),0))</f>
        <v/>
      </c>
      <c r="AG9" s="24">
        <f>IF($A9="","",N(AE9)-N(AF9))</f>
        <v/>
      </c>
      <c r="AH9" s="22" t="n">
        <v>0</v>
      </c>
      <c r="AI9" s="23">
        <f>IF($A9="","",IFERROR(SUMPRODUCT(('[1]عهد ومصروفات بدر'!$H$8:$H$5007=$A9)*('[1]عهد ومصروفات بدر'!$S$8:$S$5007=11)*'[1]عهد ومصروفات بدر'!$T$8:$T$5007),0))</f>
        <v/>
      </c>
      <c r="AJ9" s="24">
        <f>IF($A9="","",N(AH9)-N(AI9))</f>
        <v/>
      </c>
      <c r="AK9" s="22" t="n">
        <v>75000</v>
      </c>
      <c r="AL9" s="23">
        <f>IF($A9="","",IFERROR(SUMPRODUCT(('[1]عهد ومصروفات بدر'!$H$8:$H$5007=$A9)*('[1]عهد ومصروفات بدر'!$S$8:$S$5007=12)*'[1]عهد ومصروفات بدر'!$T$8:$T$5007),0))</f>
        <v/>
      </c>
      <c r="AM9" s="24">
        <f>IF($A9="","",N(AK9)-N(AL9))</f>
        <v/>
      </c>
      <c r="AN9" s="25">
        <f>IF(A9="","",N(D9)+N(G9)+N(J9)+N(M9)+N(P9)+N(S9)+N(V9)+N(Y9)+N(AB9)+N(AE9)+N(AH9)+N(AK9))</f>
        <v/>
      </c>
      <c r="AO9" s="25">
        <f>IF(A9="","",N(E9)+N(H9)+N(K9)+N(N9)+N(Q9)+N(T9)+N(W9)+N(Z9)+N(AC9)+N(AF9)+N(AI9)+N(AL9))</f>
        <v/>
      </c>
      <c r="AP9" s="26">
        <f>IF(A9="","",N(B9)-AO9)</f>
        <v/>
      </c>
      <c r="AQ9">
        <f>IF(A9="",0,(N(F9)&lt;0)+(N(I9)&lt;0)+(N(L9)&lt;0)+(N(O9)&lt;0)+(N(R9)&lt;0)+(N(U9)&lt;0)+(N(X9)&lt;0)+(N(AA9)&lt;0)+(N(AD9)&lt;0)+(N(AG9)&lt;0)+(N(AJ9)&lt;0)+(N(AM9)&lt;0))</f>
        <v/>
      </c>
      <c r="AR9">
        <f>IF(A9="",0,MAX(0,-N(F9))+MAX(0,-N(I9))+MAX(0,-N(L9))+MAX(0,-N(O9))+MAX(0,-N(R9))+MAX(0,-N(U9))+MAX(0,-N(X9))+MAX(0,-N(AA9))+MAX(0,-N(AD9))+MAX(0,-N(AG9))+MAX(0,-N(AJ9))+MAX(0,-N(AM9)))</f>
        <v/>
      </c>
      <c r="AS9">
        <f>IF(A9="",0,IF(OR(N(AP9)&lt;0,AQ9&gt;0),1,0))</f>
        <v/>
      </c>
      <c r="AT9">
        <f>AT8+AS9</f>
        <v/>
      </c>
      <c r="AU9">
        <f>IF(A9="",-1,N(AO9)+ROW()/10000000)</f>
        <v/>
      </c>
    </row>
    <row r="10">
      <c r="A10" s="19" t="inlineStr">
        <is>
          <t>انتقالات وبدلات المتابعة الميدانية</t>
        </is>
      </c>
      <c r="B10" s="20" t="n">
        <v>28800</v>
      </c>
      <c r="C10" s="21">
        <f>IF(A10="","",N(B10)/12)</f>
        <v/>
      </c>
      <c r="D10" s="22" t="n">
        <v>3600</v>
      </c>
      <c r="E10" s="23">
        <f>IF($A10="","",IFERROR(SUMPRODUCT(('[1]عهد ومصروفات بدر'!$H$8:$H$5007=$A10)*('[1]عهد ومصروفات بدر'!$S$8:$S$5007=1)*'[1]عهد ومصروفات بدر'!$T$8:$T$5007),0))</f>
        <v/>
      </c>
      <c r="F10" s="24">
        <f>IF($A10="","",N(D10)-N(E10))</f>
        <v/>
      </c>
      <c r="G10" s="22" t="n">
        <v>3600</v>
      </c>
      <c r="H10" s="23">
        <f>IF($A10="","",IFERROR(SUMPRODUCT(('[1]عهد ومصروفات بدر'!$H$8:$H$5007=$A10)*('[1]عهد ومصروفات بدر'!$S$8:$S$5007=2)*'[1]عهد ومصروفات بدر'!$T$8:$T$5007),0))</f>
        <v/>
      </c>
      <c r="I10" s="24">
        <f>IF($A10="","",N(G10)-N(H10))</f>
        <v/>
      </c>
      <c r="J10" s="22" t="n">
        <v>3600</v>
      </c>
      <c r="K10" s="23">
        <f>IF($A10="","",IFERROR(SUMPRODUCT(('[1]عهد ومصروفات بدر'!$H$8:$H$5007=$A10)*('[1]عهد ومصروفات بدر'!$S$8:$S$5007=3)*'[1]عهد ومصروفات بدر'!$T$8:$T$5007),0))</f>
        <v/>
      </c>
      <c r="L10" s="24">
        <f>IF($A10="","",N(J10)-N(K10))</f>
        <v/>
      </c>
      <c r="M10" s="22" t="n">
        <v>3600</v>
      </c>
      <c r="N10" s="23">
        <f>IF($A10="","",IFERROR(SUMPRODUCT(('[1]عهد ومصروفات بدر'!$H$8:$H$5007=$A10)*('[1]عهد ومصروفات بدر'!$S$8:$S$5007=4)*'[1]عهد ومصروفات بدر'!$T$8:$T$5007),0))</f>
        <v/>
      </c>
      <c r="O10" s="24">
        <f>IF($A10="","",N(M10)-N(N10))</f>
        <v/>
      </c>
      <c r="P10" s="22" t="n">
        <v>3600</v>
      </c>
      <c r="Q10" s="23">
        <f>IF($A10="","",IFERROR(SUMPRODUCT(('[1]عهد ومصروفات بدر'!$H$8:$H$5007=$A10)*('[1]عهد ومصروفات بدر'!$S$8:$S$5007=5)*'[1]عهد ومصروفات بدر'!$T$8:$T$5007),0))</f>
        <v/>
      </c>
      <c r="R10" s="24">
        <f>IF($A10="","",N(P10)-N(Q10))</f>
        <v/>
      </c>
      <c r="S10" s="22" t="n">
        <v>3600</v>
      </c>
      <c r="T10" s="23">
        <f>IF($A10="","",IFERROR(SUMPRODUCT(('[1]عهد ومصروفات بدر'!$H$8:$H$5007=$A10)*('[1]عهد ومصروفات بدر'!$S$8:$S$5007=6)*'[1]عهد ومصروفات بدر'!$T$8:$T$5007),0))</f>
        <v/>
      </c>
      <c r="U10" s="24">
        <f>IF($A10="","",N(S10)-N(T10))</f>
        <v/>
      </c>
      <c r="V10" s="22" t="n">
        <v>3600</v>
      </c>
      <c r="W10" s="23">
        <f>IF($A10="","",IFERROR(SUMPRODUCT(('[1]عهد ومصروفات بدر'!$H$8:$H$5007=$A10)*('[1]عهد ومصروفات بدر'!$S$8:$S$5007=7)*'[1]عهد ومصروفات بدر'!$T$8:$T$5007),0))</f>
        <v/>
      </c>
      <c r="X10" s="24">
        <f>IF($A10="","",N(V10)-N(W10))</f>
        <v/>
      </c>
      <c r="Y10" s="22" t="n">
        <v>3600</v>
      </c>
      <c r="Z10" s="23">
        <f>IF($A10="","",IFERROR(SUMPRODUCT(('[1]عهد ومصروفات بدر'!$H$8:$H$5007=$A10)*('[1]عهد ومصروفات بدر'!$S$8:$S$5007=8)*'[1]عهد ومصروفات بدر'!$T$8:$T$5007),0))</f>
        <v/>
      </c>
      <c r="AA10" s="24">
        <f>IF($A10="","",N(Y10)-N(Z10))</f>
        <v/>
      </c>
      <c r="AB10" s="22" t="n">
        <v>0</v>
      </c>
      <c r="AC10" s="23">
        <f>IF($A10="","",IFERROR(SUMPRODUCT(('[1]عهد ومصروفات بدر'!$H$8:$H$5007=$A10)*('[1]عهد ومصروفات بدر'!$S$8:$S$5007=9)*'[1]عهد ومصروفات بدر'!$T$8:$T$5007),0))</f>
        <v/>
      </c>
      <c r="AD10" s="24">
        <f>IF($A10="","",N(AB10)-N(AC10))</f>
        <v/>
      </c>
      <c r="AE10" s="22" t="n">
        <v>0</v>
      </c>
      <c r="AF10" s="23">
        <f>IF($A10="","",IFERROR(SUMPRODUCT(('[1]عهد ومصروفات بدر'!$H$8:$H$5007=$A10)*('[1]عهد ومصروفات بدر'!$S$8:$S$5007=10)*'[1]عهد ومصروفات بدر'!$T$8:$T$5007),0))</f>
        <v/>
      </c>
      <c r="AG10" s="24">
        <f>IF($A10="","",N(AE10)-N(AF10))</f>
        <v/>
      </c>
      <c r="AH10" s="22" t="n">
        <v>0</v>
      </c>
      <c r="AI10" s="23">
        <f>IF($A10="","",IFERROR(SUMPRODUCT(('[1]عهد ومصروفات بدر'!$H$8:$H$5007=$A10)*('[1]عهد ومصروفات بدر'!$S$8:$S$5007=11)*'[1]عهد ومصروفات بدر'!$T$8:$T$5007),0))</f>
        <v/>
      </c>
      <c r="AJ10" s="24">
        <f>IF($A10="","",N(AH10)-N(AI10))</f>
        <v/>
      </c>
      <c r="AK10" s="22" t="n">
        <v>0</v>
      </c>
      <c r="AL10" s="23">
        <f>IF($A10="","",IFERROR(SUMPRODUCT(('[1]عهد ومصروفات بدر'!$H$8:$H$5007=$A10)*('[1]عهد ومصروفات بدر'!$S$8:$S$5007=12)*'[1]عهد ومصروفات بدر'!$T$8:$T$5007),0))</f>
        <v/>
      </c>
      <c r="AM10" s="24">
        <f>IF($A10="","",N(AK10)-N(AL10))</f>
        <v/>
      </c>
      <c r="AN10" s="25">
        <f>IF(A10="","",N(D10)+N(G10)+N(J10)+N(M10)+N(P10)+N(S10)+N(V10)+N(Y10)+N(AB10)+N(AE10)+N(AH10)+N(AK10))</f>
        <v/>
      </c>
      <c r="AO10" s="25">
        <f>IF(A10="","",N(E10)+N(H10)+N(K10)+N(N10)+N(Q10)+N(T10)+N(W10)+N(Z10)+N(AC10)+N(AF10)+N(AI10)+N(AL10))</f>
        <v/>
      </c>
      <c r="AP10" s="26">
        <f>IF(A10="","",N(B10)-AO10)</f>
        <v/>
      </c>
      <c r="AQ10">
        <f>IF(A10="",0,(N(F10)&lt;0)+(N(I10)&lt;0)+(N(L10)&lt;0)+(N(O10)&lt;0)+(N(R10)&lt;0)+(N(U10)&lt;0)+(N(X10)&lt;0)+(N(AA10)&lt;0)+(N(AD10)&lt;0)+(N(AG10)&lt;0)+(N(AJ10)&lt;0)+(N(AM10)&lt;0))</f>
        <v/>
      </c>
      <c r="AR10">
        <f>IF(A10="",0,MAX(0,-N(F10))+MAX(0,-N(I10))+MAX(0,-N(L10))+MAX(0,-N(O10))+MAX(0,-N(R10))+MAX(0,-N(U10))+MAX(0,-N(X10))+MAX(0,-N(AA10))+MAX(0,-N(AD10))+MAX(0,-N(AG10))+MAX(0,-N(AJ10))+MAX(0,-N(AM10)))</f>
        <v/>
      </c>
      <c r="AS10">
        <f>IF(A10="",0,IF(OR(N(AP10)&lt;0,AQ10&gt;0),1,0))</f>
        <v/>
      </c>
      <c r="AT10">
        <f>AT9+AS10</f>
        <v/>
      </c>
      <c r="AU10">
        <f>IF(A10="",-1,N(AO10)+ROW()/10000000)</f>
        <v/>
      </c>
    </row>
    <row r="11">
      <c r="A11" s="19" t="inlineStr">
        <is>
          <t>معدات الأمن والسلامة (الصف الأول)</t>
        </is>
      </c>
      <c r="B11" s="20" t="n">
        <v>0</v>
      </c>
      <c r="C11" s="21">
        <f>IF(A11="","",N(B11)/12)</f>
        <v/>
      </c>
      <c r="D11" s="22" t="n">
        <v>0</v>
      </c>
      <c r="E11" s="23">
        <f>IF($A11="","",IFERROR(SUMPRODUCT(('[1]عهد ومصروفات بدر'!$H$8:$H$5007=$A11)*('[1]عهد ومصروفات بدر'!$S$8:$S$5007=1)*'[1]عهد ومصروفات بدر'!$T$8:$T$5007),0))</f>
        <v/>
      </c>
      <c r="F11" s="24">
        <f>IF($A11="","",N(D11)-N(E11))</f>
        <v/>
      </c>
      <c r="G11" s="22" t="n">
        <v>0</v>
      </c>
      <c r="H11" s="23">
        <f>IF($A11="","",IFERROR(SUMPRODUCT(('[1]عهد ومصروفات بدر'!$H$8:$H$5007=$A11)*('[1]عهد ومصروفات بدر'!$S$8:$S$5007=2)*'[1]عهد ومصروفات بدر'!$T$8:$T$5007),0))</f>
        <v/>
      </c>
      <c r="I11" s="24">
        <f>IF($A11="","",N(G11)-N(H11))</f>
        <v/>
      </c>
      <c r="J11" s="22" t="n">
        <v>0</v>
      </c>
      <c r="K11" s="23">
        <f>IF($A11="","",IFERROR(SUMPRODUCT(('[1]عهد ومصروفات بدر'!$H$8:$H$5007=$A11)*('[1]عهد ومصروفات بدر'!$S$8:$S$5007=3)*'[1]عهد ومصروفات بدر'!$T$8:$T$5007),0))</f>
        <v/>
      </c>
      <c r="L11" s="24">
        <f>IF($A11="","",N(J11)-N(K11))</f>
        <v/>
      </c>
      <c r="M11" s="22" t="n">
        <v>0</v>
      </c>
      <c r="N11" s="23">
        <f>IF($A11="","",IFERROR(SUMPRODUCT(('[1]عهد ومصروفات بدر'!$H$8:$H$5007=$A11)*('[1]عهد ومصروفات بدر'!$S$8:$S$5007=4)*'[1]عهد ومصروفات بدر'!$T$8:$T$5007),0))</f>
        <v/>
      </c>
      <c r="O11" s="24">
        <f>IF($A11="","",N(M11)-N(N11))</f>
        <v/>
      </c>
      <c r="P11" s="22" t="n">
        <v>0</v>
      </c>
      <c r="Q11" s="23">
        <f>IF($A11="","",IFERROR(SUMPRODUCT(('[1]عهد ومصروفات بدر'!$H$8:$H$5007=$A11)*('[1]عهد ومصروفات بدر'!$S$8:$S$5007=5)*'[1]عهد ومصروفات بدر'!$T$8:$T$5007),0))</f>
        <v/>
      </c>
      <c r="R11" s="24">
        <f>IF($A11="","",N(P11)-N(Q11))</f>
        <v/>
      </c>
      <c r="S11" s="22" t="n">
        <v>0</v>
      </c>
      <c r="T11" s="23">
        <f>IF($A11="","",IFERROR(SUMPRODUCT(('[1]عهد ومصروفات بدر'!$H$8:$H$5007=$A11)*('[1]عهد ومصروفات بدر'!$S$8:$S$5007=6)*'[1]عهد ومصروفات بدر'!$T$8:$T$5007),0))</f>
        <v/>
      </c>
      <c r="U11" s="24">
        <f>IF($A11="","",N(S11)-N(T11))</f>
        <v/>
      </c>
      <c r="V11" s="22" t="n">
        <v>0</v>
      </c>
      <c r="W11" s="23">
        <f>IF($A11="","",IFERROR(SUMPRODUCT(('[1]عهد ومصروفات بدر'!$H$8:$H$5007=$A11)*('[1]عهد ومصروفات بدر'!$S$8:$S$5007=7)*'[1]عهد ومصروفات بدر'!$T$8:$T$5007),0))</f>
        <v/>
      </c>
      <c r="X11" s="24">
        <f>IF($A11="","",N(V11)-N(W11))</f>
        <v/>
      </c>
      <c r="Y11" s="22" t="n">
        <v>0</v>
      </c>
      <c r="Z11" s="23">
        <f>IF($A11="","",IFERROR(SUMPRODUCT(('[1]عهد ومصروفات بدر'!$H$8:$H$5007=$A11)*('[1]عهد ومصروفات بدر'!$S$8:$S$5007=8)*'[1]عهد ومصروفات بدر'!$T$8:$T$5007),0))</f>
        <v/>
      </c>
      <c r="AA11" s="24">
        <f>IF($A11="","",N(Y11)-N(Z11))</f>
        <v/>
      </c>
      <c r="AB11" s="22" t="n">
        <v>0</v>
      </c>
      <c r="AC11" s="23">
        <f>IF($A11="","",IFERROR(SUMPRODUCT(('[1]عهد ومصروفات بدر'!$H$8:$H$5007=$A11)*('[1]عهد ومصروفات بدر'!$S$8:$S$5007=9)*'[1]عهد ومصروفات بدر'!$T$8:$T$5007),0))</f>
        <v/>
      </c>
      <c r="AD11" s="24">
        <f>IF($A11="","",N(AB11)-N(AC11))</f>
        <v/>
      </c>
      <c r="AE11" s="22" t="n">
        <v>0</v>
      </c>
      <c r="AF11" s="23">
        <f>IF($A11="","",IFERROR(SUMPRODUCT(('[1]عهد ومصروفات بدر'!$H$8:$H$5007=$A11)*('[1]عهد ومصروفات بدر'!$S$8:$S$5007=10)*'[1]عهد ومصروفات بدر'!$T$8:$T$5007),0))</f>
        <v/>
      </c>
      <c r="AG11" s="24">
        <f>IF($A11="","",N(AE11)-N(AF11))</f>
        <v/>
      </c>
      <c r="AH11" s="22" t="n">
        <v>0</v>
      </c>
      <c r="AI11" s="23">
        <f>IF($A11="","",IFERROR(SUMPRODUCT(('[1]عهد ومصروفات بدر'!$H$8:$H$5007=$A11)*('[1]عهد ومصروفات بدر'!$S$8:$S$5007=11)*'[1]عهد ومصروفات بدر'!$T$8:$T$5007),0))</f>
        <v/>
      </c>
      <c r="AJ11" s="24">
        <f>IF($A11="","",N(AH11)-N(AI11))</f>
        <v/>
      </c>
      <c r="AK11" s="22" t="n">
        <v>0</v>
      </c>
      <c r="AL11" s="23">
        <f>IF($A11="","",IFERROR(SUMPRODUCT(('[1]عهد ومصروفات بدر'!$H$8:$H$5007=$A11)*('[1]عهد ومصروفات بدر'!$S$8:$S$5007=12)*'[1]عهد ومصروفات بدر'!$T$8:$T$5007),0))</f>
        <v/>
      </c>
      <c r="AM11" s="24">
        <f>IF($A11="","",N(AK11)-N(AL11))</f>
        <v/>
      </c>
      <c r="AN11" s="25">
        <f>IF(A11="","",N(D11)+N(G11)+N(J11)+N(M11)+N(P11)+N(S11)+N(V11)+N(Y11)+N(AB11)+N(AE11)+N(AH11)+N(AK11))</f>
        <v/>
      </c>
      <c r="AO11" s="25">
        <f>IF(A11="","",N(E11)+N(H11)+N(K11)+N(N11)+N(Q11)+N(T11)+N(W11)+N(Z11)+N(AC11)+N(AF11)+N(AI11)+N(AL11))</f>
        <v/>
      </c>
      <c r="AP11" s="26">
        <f>IF(A11="","",N(B11)-AO11)</f>
        <v/>
      </c>
      <c r="AQ11">
        <f>IF(A11="",0,(N(F11)&lt;0)+(N(I11)&lt;0)+(N(L11)&lt;0)+(N(O11)&lt;0)+(N(R11)&lt;0)+(N(U11)&lt;0)+(N(X11)&lt;0)+(N(AA11)&lt;0)+(N(AD11)&lt;0)+(N(AG11)&lt;0)+(N(AJ11)&lt;0)+(N(AM11)&lt;0))</f>
        <v/>
      </c>
      <c r="AR11">
        <f>IF(A11="",0,MAX(0,-N(F11))+MAX(0,-N(I11))+MAX(0,-N(L11))+MAX(0,-N(O11))+MAX(0,-N(R11))+MAX(0,-N(U11))+MAX(0,-N(X11))+MAX(0,-N(AA11))+MAX(0,-N(AD11))+MAX(0,-N(AG11))+MAX(0,-N(AJ11))+MAX(0,-N(AM11)))</f>
        <v/>
      </c>
      <c r="AS11">
        <f>IF(A11="",0,IF(OR(N(AP11)&lt;0,AQ11&gt;0),1,0))</f>
        <v/>
      </c>
      <c r="AT11">
        <f>AT10+AS11</f>
        <v/>
      </c>
      <c r="AU11">
        <f>IF(A11="",-1,N(AO11)+ROW()/10000000)</f>
        <v/>
      </c>
    </row>
    <row r="12">
      <c r="A12" s="19" t="inlineStr">
        <is>
          <t>الزى المدرسى (الصف الأول)</t>
        </is>
      </c>
      <c r="B12" s="20" t="n">
        <v>180000</v>
      </c>
      <c r="C12" s="21">
        <f>IF(A12="","",N(B12)/12)</f>
        <v/>
      </c>
      <c r="D12" s="22" t="n">
        <v>180000</v>
      </c>
      <c r="E12" s="23">
        <f>IF($A12="","",IFERROR(SUMPRODUCT(('[1]عهد ومصروفات بدر'!$H$8:$H$5007=$A12)*('[1]عهد ومصروفات بدر'!$S$8:$S$5007=1)*'[1]عهد ومصروفات بدر'!$T$8:$T$5007),0))</f>
        <v/>
      </c>
      <c r="F12" s="24">
        <f>IF($A12="","",N(D12)-N(E12))</f>
        <v/>
      </c>
      <c r="G12" s="22" t="n">
        <v>0</v>
      </c>
      <c r="H12" s="23">
        <f>IF($A12="","",IFERROR(SUMPRODUCT(('[1]عهد ومصروفات بدر'!$H$8:$H$5007=$A12)*('[1]عهد ومصروفات بدر'!$S$8:$S$5007=2)*'[1]عهد ومصروفات بدر'!$T$8:$T$5007),0))</f>
        <v/>
      </c>
      <c r="I12" s="24">
        <f>IF($A12="","",N(G12)-N(H12))</f>
        <v/>
      </c>
      <c r="J12" s="22" t="n">
        <v>0</v>
      </c>
      <c r="K12" s="23">
        <f>IF($A12="","",IFERROR(SUMPRODUCT(('[1]عهد ومصروفات بدر'!$H$8:$H$5007=$A12)*('[1]عهد ومصروفات بدر'!$S$8:$S$5007=3)*'[1]عهد ومصروفات بدر'!$T$8:$T$5007),0))</f>
        <v/>
      </c>
      <c r="L12" s="24">
        <f>IF($A12="","",N(J12)-N(K12))</f>
        <v/>
      </c>
      <c r="M12" s="22" t="n">
        <v>0</v>
      </c>
      <c r="N12" s="23">
        <f>IF($A12="","",IFERROR(SUMPRODUCT(('[1]عهد ومصروفات بدر'!$H$8:$H$5007=$A12)*('[1]عهد ومصروفات بدر'!$S$8:$S$5007=4)*'[1]عهد ومصروفات بدر'!$T$8:$T$5007),0))</f>
        <v/>
      </c>
      <c r="O12" s="24">
        <f>IF($A12="","",N(M12)-N(N12))</f>
        <v/>
      </c>
      <c r="P12" s="22" t="n">
        <v>0</v>
      </c>
      <c r="Q12" s="23">
        <f>IF($A12="","",IFERROR(SUMPRODUCT(('[1]عهد ومصروفات بدر'!$H$8:$H$5007=$A12)*('[1]عهد ومصروفات بدر'!$S$8:$S$5007=5)*'[1]عهد ومصروفات بدر'!$T$8:$T$5007),0))</f>
        <v/>
      </c>
      <c r="R12" s="24">
        <f>IF($A12="","",N(P12)-N(Q12))</f>
        <v/>
      </c>
      <c r="S12" s="22" t="n">
        <v>0</v>
      </c>
      <c r="T12" s="23">
        <f>IF($A12="","",IFERROR(SUMPRODUCT(('[1]عهد ومصروفات بدر'!$H$8:$H$5007=$A12)*('[1]عهد ومصروفات بدر'!$S$8:$S$5007=6)*'[1]عهد ومصروفات بدر'!$T$8:$T$5007),0))</f>
        <v/>
      </c>
      <c r="U12" s="24">
        <f>IF($A12="","",N(S12)-N(T12))</f>
        <v/>
      </c>
      <c r="V12" s="22" t="n">
        <v>0</v>
      </c>
      <c r="W12" s="23">
        <f>IF($A12="","",IFERROR(SUMPRODUCT(('[1]عهد ومصروفات بدر'!$H$8:$H$5007=$A12)*('[1]عهد ومصروفات بدر'!$S$8:$S$5007=7)*'[1]عهد ومصروفات بدر'!$T$8:$T$5007),0))</f>
        <v/>
      </c>
      <c r="X12" s="24">
        <f>IF($A12="","",N(V12)-N(W12))</f>
        <v/>
      </c>
      <c r="Y12" s="22" t="n">
        <v>0</v>
      </c>
      <c r="Z12" s="23">
        <f>IF($A12="","",IFERROR(SUMPRODUCT(('[1]عهد ومصروفات بدر'!$H$8:$H$5007=$A12)*('[1]عهد ومصروفات بدر'!$S$8:$S$5007=8)*'[1]عهد ومصروفات بدر'!$T$8:$T$5007),0))</f>
        <v/>
      </c>
      <c r="AA12" s="24">
        <f>IF($A12="","",N(Y12)-N(Z12))</f>
        <v/>
      </c>
      <c r="AB12" s="22" t="n">
        <v>0</v>
      </c>
      <c r="AC12" s="23">
        <f>IF($A12="","",IFERROR(SUMPRODUCT(('[1]عهد ومصروفات بدر'!$H$8:$H$5007=$A12)*('[1]عهد ومصروفات بدر'!$S$8:$S$5007=9)*'[1]عهد ومصروفات بدر'!$T$8:$T$5007),0))</f>
        <v/>
      </c>
      <c r="AD12" s="24">
        <f>IF($A12="","",N(AB12)-N(AC12))</f>
        <v/>
      </c>
      <c r="AE12" s="22" t="n">
        <v>0</v>
      </c>
      <c r="AF12" s="23">
        <f>IF($A12="","",IFERROR(SUMPRODUCT(('[1]عهد ومصروفات بدر'!$H$8:$H$5007=$A12)*('[1]عهد ومصروفات بدر'!$S$8:$S$5007=10)*'[1]عهد ومصروفات بدر'!$T$8:$T$5007),0))</f>
        <v/>
      </c>
      <c r="AG12" s="24">
        <f>IF($A12="","",N(AE12)-N(AF12))</f>
        <v/>
      </c>
      <c r="AH12" s="22" t="n">
        <v>0</v>
      </c>
      <c r="AI12" s="23">
        <f>IF($A12="","",IFERROR(SUMPRODUCT(('[1]عهد ومصروفات بدر'!$H$8:$H$5007=$A12)*('[1]عهد ومصروفات بدر'!$S$8:$S$5007=11)*'[1]عهد ومصروفات بدر'!$T$8:$T$5007),0))</f>
        <v/>
      </c>
      <c r="AJ12" s="24">
        <f>IF($A12="","",N(AH12)-N(AI12))</f>
        <v/>
      </c>
      <c r="AK12" s="22" t="n">
        <v>0</v>
      </c>
      <c r="AL12" s="23">
        <f>IF($A12="","",IFERROR(SUMPRODUCT(('[1]عهد ومصروفات بدر'!$H$8:$H$5007=$A12)*('[1]عهد ومصروفات بدر'!$S$8:$S$5007=12)*'[1]عهد ومصروفات بدر'!$T$8:$T$5007),0))</f>
        <v/>
      </c>
      <c r="AM12" s="24">
        <f>IF($A12="","",N(AK12)-N(AL12))</f>
        <v/>
      </c>
      <c r="AN12" s="25">
        <f>IF(A12="","",N(D12)+N(G12)+N(J12)+N(M12)+N(P12)+N(S12)+N(V12)+N(Y12)+N(AB12)+N(AE12)+N(AH12)+N(AK12))</f>
        <v/>
      </c>
      <c r="AO12" s="25">
        <f>IF(A12="","",N(E12)+N(H12)+N(K12)+N(N12)+N(Q12)+N(T12)+N(W12)+N(Z12)+N(AC12)+N(AF12)+N(AI12)+N(AL12))</f>
        <v/>
      </c>
      <c r="AP12" s="26">
        <f>IF(A12="","",N(B12)-AO12)</f>
        <v/>
      </c>
      <c r="AQ12">
        <f>IF(A12="",0,(N(F12)&lt;0)+(N(I12)&lt;0)+(N(L12)&lt;0)+(N(O12)&lt;0)+(N(R12)&lt;0)+(N(U12)&lt;0)+(N(X12)&lt;0)+(N(AA12)&lt;0)+(N(AD12)&lt;0)+(N(AG12)&lt;0)+(N(AJ12)&lt;0)+(N(AM12)&lt;0))</f>
        <v/>
      </c>
      <c r="AR12">
        <f>IF(A12="",0,MAX(0,-N(F12))+MAX(0,-N(I12))+MAX(0,-N(L12))+MAX(0,-N(O12))+MAX(0,-N(R12))+MAX(0,-N(U12))+MAX(0,-N(X12))+MAX(0,-N(AA12))+MAX(0,-N(AD12))+MAX(0,-N(AG12))+MAX(0,-N(AJ12))+MAX(0,-N(AM12)))</f>
        <v/>
      </c>
      <c r="AS12">
        <f>IF(A12="",0,IF(OR(N(AP12)&lt;0,AQ12&gt;0),1,0))</f>
        <v/>
      </c>
      <c r="AT12">
        <f>AT11+AS12</f>
        <v/>
      </c>
      <c r="AU12">
        <f>IF(A12="",-1,N(AO12)+ROW()/10000000)</f>
        <v/>
      </c>
    </row>
    <row r="13">
      <c r="A13" s="19" t="inlineStr">
        <is>
          <t>انتقالات الموقع – الصف الثالث</t>
        </is>
      </c>
      <c r="B13" s="20" t="n">
        <v>54000</v>
      </c>
      <c r="C13" s="21">
        <f>IF(A13="","",N(B13)/12)</f>
        <v/>
      </c>
      <c r="D13" s="22" t="n">
        <v>0</v>
      </c>
      <c r="E13" s="23">
        <f>IF($A13="","",IFERROR(SUMPRODUCT(('[1]عهد ومصروفات بدر'!$H$8:$H$5007=$A13)*('[1]عهد ومصروفات بدر'!$S$8:$S$5007=1)*'[1]عهد ومصروفات بدر'!$T$8:$T$5007),0))</f>
        <v/>
      </c>
      <c r="F13" s="24">
        <f>IF($A13="","",N(D13)-N(E13))</f>
        <v/>
      </c>
      <c r="G13" s="22" t="n">
        <v>9000</v>
      </c>
      <c r="H13" s="23">
        <f>IF($A13="","",IFERROR(SUMPRODUCT(('[1]عهد ومصروفات بدر'!$H$8:$H$5007=$A13)*('[1]عهد ومصروفات بدر'!$S$8:$S$5007=2)*'[1]عهد ومصروفات بدر'!$T$8:$T$5007),0))</f>
        <v/>
      </c>
      <c r="I13" s="24">
        <f>IF($A13="","",N(G13)-N(H13))</f>
        <v/>
      </c>
      <c r="J13" s="22" t="n">
        <v>9000</v>
      </c>
      <c r="K13" s="23">
        <f>IF($A13="","",IFERROR(SUMPRODUCT(('[1]عهد ومصروفات بدر'!$H$8:$H$5007=$A13)*('[1]عهد ومصروفات بدر'!$S$8:$S$5007=3)*'[1]عهد ومصروفات بدر'!$T$8:$T$5007),0))</f>
        <v/>
      </c>
      <c r="L13" s="24">
        <f>IF($A13="","",N(J13)-N(K13))</f>
        <v/>
      </c>
      <c r="M13" s="22" t="n">
        <v>9000</v>
      </c>
      <c r="N13" s="23">
        <f>IF($A13="","",IFERROR(SUMPRODUCT(('[1]عهد ومصروفات بدر'!$H$8:$H$5007=$A13)*('[1]عهد ومصروفات بدر'!$S$8:$S$5007=4)*'[1]عهد ومصروفات بدر'!$T$8:$T$5007),0))</f>
        <v/>
      </c>
      <c r="O13" s="24">
        <f>IF($A13="","",N(M13)-N(N13))</f>
        <v/>
      </c>
      <c r="P13" s="22" t="n">
        <v>0</v>
      </c>
      <c r="Q13" s="23">
        <f>IF($A13="","",IFERROR(SUMPRODUCT(('[1]عهد ومصروفات بدر'!$H$8:$H$5007=$A13)*('[1]عهد ومصروفات بدر'!$S$8:$S$5007=5)*'[1]عهد ومصروفات بدر'!$T$8:$T$5007),0))</f>
        <v/>
      </c>
      <c r="R13" s="24">
        <f>IF($A13="","",N(P13)-N(Q13))</f>
        <v/>
      </c>
      <c r="S13" s="22" t="n">
        <v>4500</v>
      </c>
      <c r="T13" s="23">
        <f>IF($A13="","",IFERROR(SUMPRODUCT(('[1]عهد ومصروفات بدر'!$H$8:$H$5007=$A13)*('[1]عهد ومصروفات بدر'!$S$8:$S$5007=6)*'[1]عهد ومصروفات بدر'!$T$8:$T$5007),0))</f>
        <v/>
      </c>
      <c r="U13" s="24">
        <f>IF($A13="","",N(S13)-N(T13))</f>
        <v/>
      </c>
      <c r="V13" s="22" t="n">
        <v>9000</v>
      </c>
      <c r="W13" s="23">
        <f>IF($A13="","",IFERROR(SUMPRODUCT(('[1]عهد ومصروفات بدر'!$H$8:$H$5007=$A13)*('[1]عهد ومصروفات بدر'!$S$8:$S$5007=7)*'[1]عهد ومصروفات بدر'!$T$8:$T$5007),0))</f>
        <v/>
      </c>
      <c r="X13" s="24">
        <f>IF($A13="","",N(V13)-N(W13))</f>
        <v/>
      </c>
      <c r="Y13" s="22" t="n">
        <v>0</v>
      </c>
      <c r="Z13" s="23">
        <f>IF($A13="","",IFERROR(SUMPRODUCT(('[1]عهد ومصروفات بدر'!$H$8:$H$5007=$A13)*('[1]عهد ومصروفات بدر'!$S$8:$S$5007=8)*'[1]عهد ومصروفات بدر'!$T$8:$T$5007),0))</f>
        <v/>
      </c>
      <c r="AA13" s="24">
        <f>IF($A13="","",N(Y13)-N(Z13))</f>
        <v/>
      </c>
      <c r="AB13" s="22" t="n">
        <v>0</v>
      </c>
      <c r="AC13" s="23">
        <f>IF($A13="","",IFERROR(SUMPRODUCT(('[1]عهد ومصروفات بدر'!$H$8:$H$5007=$A13)*('[1]عهد ومصروفات بدر'!$S$8:$S$5007=9)*'[1]عهد ومصروفات بدر'!$T$8:$T$5007),0))</f>
        <v/>
      </c>
      <c r="AD13" s="24">
        <f>IF($A13="","",N(AB13)-N(AC13))</f>
        <v/>
      </c>
      <c r="AE13" s="22" t="n">
        <v>0</v>
      </c>
      <c r="AF13" s="23">
        <f>IF($A13="","",IFERROR(SUMPRODUCT(('[1]عهد ومصروفات بدر'!$H$8:$H$5007=$A13)*('[1]عهد ومصروفات بدر'!$S$8:$S$5007=10)*'[1]عهد ومصروفات بدر'!$T$8:$T$5007),0))</f>
        <v/>
      </c>
      <c r="AG13" s="24">
        <f>IF($A13="","",N(AE13)-N(AF13))</f>
        <v/>
      </c>
      <c r="AH13" s="22" t="n">
        <v>0</v>
      </c>
      <c r="AI13" s="23">
        <f>IF($A13="","",IFERROR(SUMPRODUCT(('[1]عهد ومصروفات بدر'!$H$8:$H$5007=$A13)*('[1]عهد ومصروفات بدر'!$S$8:$S$5007=11)*'[1]عهد ومصروفات بدر'!$T$8:$T$5007),0))</f>
        <v/>
      </c>
      <c r="AJ13" s="24">
        <f>IF($A13="","",N(AH13)-N(AI13))</f>
        <v/>
      </c>
      <c r="AK13" s="22" t="n">
        <v>0</v>
      </c>
      <c r="AL13" s="23">
        <f>IF($A13="","",IFERROR(SUMPRODUCT(('[1]عهد ومصروفات بدر'!$H$8:$H$5007=$A13)*('[1]عهد ومصروفات بدر'!$S$8:$S$5007=12)*'[1]عهد ومصروفات بدر'!$T$8:$T$5007),0))</f>
        <v/>
      </c>
      <c r="AM13" s="24">
        <f>IF($A13="","",N(AK13)-N(AL13))</f>
        <v/>
      </c>
      <c r="AN13" s="25">
        <f>IF(A13="","",N(D13)+N(G13)+N(J13)+N(M13)+N(P13)+N(S13)+N(V13)+N(Y13)+N(AB13)+N(AE13)+N(AH13)+N(AK13))</f>
        <v/>
      </c>
      <c r="AO13" s="25">
        <f>IF(A13="","",N(E13)+N(H13)+N(K13)+N(N13)+N(Q13)+N(T13)+N(W13)+N(Z13)+N(AC13)+N(AF13)+N(AI13)+N(AL13))</f>
        <v/>
      </c>
      <c r="AP13" s="26">
        <f>IF(A13="","",N(B13)-AO13)</f>
        <v/>
      </c>
      <c r="AQ13">
        <f>IF(A13="",0,(N(F13)&lt;0)+(N(I13)&lt;0)+(N(L13)&lt;0)+(N(O13)&lt;0)+(N(R13)&lt;0)+(N(U13)&lt;0)+(N(X13)&lt;0)+(N(AA13)&lt;0)+(N(AD13)&lt;0)+(N(AG13)&lt;0)+(N(AJ13)&lt;0)+(N(AM13)&lt;0))</f>
        <v/>
      </c>
      <c r="AR13">
        <f>IF(A13="",0,MAX(0,-N(F13))+MAX(0,-N(I13))+MAX(0,-N(L13))+MAX(0,-N(O13))+MAX(0,-N(R13))+MAX(0,-N(U13))+MAX(0,-N(X13))+MAX(0,-N(AA13))+MAX(0,-N(AD13))+MAX(0,-N(AG13))+MAX(0,-N(AJ13))+MAX(0,-N(AM13)))</f>
        <v/>
      </c>
      <c r="AS13">
        <f>IF(A13="",0,IF(OR(N(AP13)&lt;0,AQ13&gt;0),1,0))</f>
        <v/>
      </c>
      <c r="AT13">
        <f>AT12+AS13</f>
        <v/>
      </c>
      <c r="AU13">
        <f>IF(A13="",-1,N(AO13)+ROW()/10000000)</f>
        <v/>
      </c>
    </row>
    <row r="14">
      <c r="A14" s="19" t="inlineStr">
        <is>
          <t>وجبات الموقع – الصف الثالث</t>
        </is>
      </c>
      <c r="B14" s="20" t="n">
        <v>17160</v>
      </c>
      <c r="C14" s="21">
        <f>IF(A14="","",N(B14)/12)</f>
        <v/>
      </c>
      <c r="D14" s="22" t="n">
        <v>0</v>
      </c>
      <c r="E14" s="23">
        <f>IF($A14="","",IFERROR(SUMPRODUCT(('[1]عهد ومصروفات بدر'!$H$8:$H$5007=$A14)*('[1]عهد ومصروفات بدر'!$S$8:$S$5007=1)*'[1]عهد ومصروفات بدر'!$T$8:$T$5007),0))</f>
        <v/>
      </c>
      <c r="F14" s="24">
        <f>IF($A14="","",N(D14)-N(E14))</f>
        <v/>
      </c>
      <c r="G14" s="22" t="n">
        <v>5720</v>
      </c>
      <c r="H14" s="23">
        <f>IF($A14="","",IFERROR(SUMPRODUCT(('[1]عهد ومصروفات بدر'!$H$8:$H$5007=$A14)*('[1]عهد ومصروفات بدر'!$S$8:$S$5007=2)*'[1]عهد ومصروفات بدر'!$T$8:$T$5007),0))</f>
        <v/>
      </c>
      <c r="I14" s="24">
        <f>IF($A14="","",N(G14)-N(H14))</f>
        <v/>
      </c>
      <c r="J14" s="22" t="n">
        <v>5720</v>
      </c>
      <c r="K14" s="23">
        <f>IF($A14="","",IFERROR(SUMPRODUCT(('[1]عهد ومصروفات بدر'!$H$8:$H$5007=$A14)*('[1]عهد ومصروفات بدر'!$S$8:$S$5007=3)*'[1]عهد ومصروفات بدر'!$T$8:$T$5007),0))</f>
        <v/>
      </c>
      <c r="L14" s="24">
        <f>IF($A14="","",N(J14)-N(K14))</f>
        <v/>
      </c>
      <c r="M14" s="22" t="n">
        <v>5720</v>
      </c>
      <c r="N14" s="23">
        <f>IF($A14="","",IFERROR(SUMPRODUCT(('[1]عهد ومصروفات بدر'!$H$8:$H$5007=$A14)*('[1]عهد ومصروفات بدر'!$S$8:$S$5007=4)*'[1]عهد ومصروفات بدر'!$T$8:$T$5007),0))</f>
        <v/>
      </c>
      <c r="O14" s="24">
        <f>IF($A14="","",N(M14)-N(N14))</f>
        <v/>
      </c>
      <c r="P14" s="22" t="n">
        <v>0</v>
      </c>
      <c r="Q14" s="23">
        <f>IF($A14="","",IFERROR(SUMPRODUCT(('[1]عهد ومصروفات بدر'!$H$8:$H$5007=$A14)*('[1]عهد ومصروفات بدر'!$S$8:$S$5007=5)*'[1]عهد ومصروفات بدر'!$T$8:$T$5007),0))</f>
        <v/>
      </c>
      <c r="R14" s="24">
        <f>IF($A14="","",N(P14)-N(Q14))</f>
        <v/>
      </c>
      <c r="S14" s="22" t="n">
        <v>2860</v>
      </c>
      <c r="T14" s="23">
        <f>IF($A14="","",IFERROR(SUMPRODUCT(('[1]عهد ومصروفات بدر'!$H$8:$H$5007=$A14)*('[1]عهد ومصروفات بدر'!$S$8:$S$5007=6)*'[1]عهد ومصروفات بدر'!$T$8:$T$5007),0))</f>
        <v/>
      </c>
      <c r="U14" s="24">
        <f>IF($A14="","",N(S14)-N(T14))</f>
        <v/>
      </c>
      <c r="V14" s="22" t="n">
        <v>5720</v>
      </c>
      <c r="W14" s="23">
        <f>IF($A14="","",IFERROR(SUMPRODUCT(('[1]عهد ومصروفات بدر'!$H$8:$H$5007=$A14)*('[1]عهد ومصروفات بدر'!$S$8:$S$5007=7)*'[1]عهد ومصروفات بدر'!$T$8:$T$5007),0))</f>
        <v/>
      </c>
      <c r="X14" s="24">
        <f>IF($A14="","",N(V14)-N(W14))</f>
        <v/>
      </c>
      <c r="Y14" s="22" t="n">
        <v>0</v>
      </c>
      <c r="Z14" s="23">
        <f>IF($A14="","",IFERROR(SUMPRODUCT(('[1]عهد ومصروفات بدر'!$H$8:$H$5007=$A14)*('[1]عهد ومصروفات بدر'!$S$8:$S$5007=8)*'[1]عهد ومصروفات بدر'!$T$8:$T$5007),0))</f>
        <v/>
      </c>
      <c r="AA14" s="24">
        <f>IF($A14="","",N(Y14)-N(Z14))</f>
        <v/>
      </c>
      <c r="AB14" s="22" t="n">
        <v>0</v>
      </c>
      <c r="AC14" s="23">
        <f>IF($A14="","",IFERROR(SUMPRODUCT(('[1]عهد ومصروفات بدر'!$H$8:$H$5007=$A14)*('[1]عهد ومصروفات بدر'!$S$8:$S$5007=9)*'[1]عهد ومصروفات بدر'!$T$8:$T$5007),0))</f>
        <v/>
      </c>
      <c r="AD14" s="24">
        <f>IF($A14="","",N(AB14)-N(AC14))</f>
        <v/>
      </c>
      <c r="AE14" s="22" t="n">
        <v>0</v>
      </c>
      <c r="AF14" s="23">
        <f>IF($A14="","",IFERROR(SUMPRODUCT(('[1]عهد ومصروفات بدر'!$H$8:$H$5007=$A14)*('[1]عهد ومصروفات بدر'!$S$8:$S$5007=10)*'[1]عهد ومصروفات بدر'!$T$8:$T$5007),0))</f>
        <v/>
      </c>
      <c r="AG14" s="24">
        <f>IF($A14="","",N(AE14)-N(AF14))</f>
        <v/>
      </c>
      <c r="AH14" s="22" t="n">
        <v>0</v>
      </c>
      <c r="AI14" s="23">
        <f>IF($A14="","",IFERROR(SUMPRODUCT(('[1]عهد ومصروفات بدر'!$H$8:$H$5007=$A14)*('[1]عهد ومصروفات بدر'!$S$8:$S$5007=11)*'[1]عهد ومصروفات بدر'!$T$8:$T$5007),0))</f>
        <v/>
      </c>
      <c r="AJ14" s="24">
        <f>IF($A14="","",N(AH14)-N(AI14))</f>
        <v/>
      </c>
      <c r="AK14" s="22" t="n">
        <v>0</v>
      </c>
      <c r="AL14" s="23">
        <f>IF($A14="","",IFERROR(SUMPRODUCT(('[1]عهد ومصروفات بدر'!$H$8:$H$5007=$A14)*('[1]عهد ومصروفات بدر'!$S$8:$S$5007=12)*'[1]عهد ومصروفات بدر'!$T$8:$T$5007),0))</f>
        <v/>
      </c>
      <c r="AM14" s="24">
        <f>IF($A14="","",N(AK14)-N(AL14))</f>
        <v/>
      </c>
      <c r="AN14" s="25">
        <f>IF(A14="","",N(D14)+N(G14)+N(J14)+N(M14)+N(P14)+N(S14)+N(V14)+N(Y14)+N(AB14)+N(AE14)+N(AH14)+N(AK14))</f>
        <v/>
      </c>
      <c r="AO14" s="25">
        <f>IF(A14="","",N(E14)+N(H14)+N(K14)+N(N14)+N(Q14)+N(T14)+N(W14)+N(Z14)+N(AC14)+N(AF14)+N(AI14)+N(AL14))</f>
        <v/>
      </c>
      <c r="AP14" s="26">
        <f>IF(A14="","",N(B14)-AO14)</f>
        <v/>
      </c>
      <c r="AQ14">
        <f>IF(A14="",0,(N(F14)&lt;0)+(N(I14)&lt;0)+(N(L14)&lt;0)+(N(O14)&lt;0)+(N(R14)&lt;0)+(N(U14)&lt;0)+(N(X14)&lt;0)+(N(AA14)&lt;0)+(N(AD14)&lt;0)+(N(AG14)&lt;0)+(N(AJ14)&lt;0)+(N(AM14)&lt;0))</f>
        <v/>
      </c>
      <c r="AR14">
        <f>IF(A14="",0,MAX(0,-N(F14))+MAX(0,-N(I14))+MAX(0,-N(L14))+MAX(0,-N(O14))+MAX(0,-N(R14))+MAX(0,-N(U14))+MAX(0,-N(X14))+MAX(0,-N(AA14))+MAX(0,-N(AD14))+MAX(0,-N(AG14))+MAX(0,-N(AJ14))+MAX(0,-N(AM14)))</f>
        <v/>
      </c>
      <c r="AS14">
        <f>IF(A14="",0,IF(OR(N(AP14)&lt;0,AQ14&gt;0),1,0))</f>
        <v/>
      </c>
      <c r="AT14">
        <f>AT13+AS14</f>
        <v/>
      </c>
      <c r="AU14">
        <f>IF(A14="",-1,N(AO14)+ROW()/10000000)</f>
        <v/>
      </c>
    </row>
    <row r="15">
      <c r="A15" s="19" t="inlineStr">
        <is>
          <t>انتقالات الموقع – الصف الأول</t>
        </is>
      </c>
      <c r="B15" s="20" t="n">
        <v>27000</v>
      </c>
      <c r="C15" s="21">
        <f>IF(A15="","",N(B15)/12)</f>
        <v/>
      </c>
      <c r="D15" s="22" t="n">
        <v>0</v>
      </c>
      <c r="E15" s="23">
        <f>IF($A15="","",IFERROR(SUMPRODUCT(('[1]عهد ومصروفات بدر'!$H$8:$H$5007=$A15)*('[1]عهد ومصروفات بدر'!$S$8:$S$5007=1)*'[1]عهد ومصروفات بدر'!$T$8:$T$5007),0))</f>
        <v/>
      </c>
      <c r="F15" s="24">
        <f>IF($A15="","",N(D15)-N(E15))</f>
        <v/>
      </c>
      <c r="G15" s="22" t="n">
        <v>0</v>
      </c>
      <c r="H15" s="23">
        <f>IF($A15="","",IFERROR(SUMPRODUCT(('[1]عهد ومصروفات بدر'!$H$8:$H$5007=$A15)*('[1]عهد ومصروفات بدر'!$S$8:$S$5007=2)*'[1]عهد ومصروفات بدر'!$T$8:$T$5007),0))</f>
        <v/>
      </c>
      <c r="I15" s="24">
        <f>IF($A15="","",N(G15)-N(H15))</f>
        <v/>
      </c>
      <c r="J15" s="22" t="n">
        <v>0</v>
      </c>
      <c r="K15" s="23">
        <f>IF($A15="","",IFERROR(SUMPRODUCT(('[1]عهد ومصروفات بدر'!$H$8:$H$5007=$A15)*('[1]عهد ومصروفات بدر'!$S$8:$S$5007=3)*'[1]عهد ومصروفات بدر'!$T$8:$T$5007),0))</f>
        <v/>
      </c>
      <c r="L15" s="24">
        <f>IF($A15="","",N(J15)-N(K15))</f>
        <v/>
      </c>
      <c r="M15" s="22" t="n">
        <v>0</v>
      </c>
      <c r="N15" s="23">
        <f>IF($A15="","",IFERROR(SUMPRODUCT(('[1]عهد ومصروفات بدر'!$H$8:$H$5007=$A15)*('[1]عهد ومصروفات بدر'!$S$8:$S$5007=4)*'[1]عهد ومصروفات بدر'!$T$8:$T$5007),0))</f>
        <v/>
      </c>
      <c r="O15" s="24">
        <f>IF($A15="","",N(M15)-N(N15))</f>
        <v/>
      </c>
      <c r="P15" s="22" t="n">
        <v>0</v>
      </c>
      <c r="Q15" s="23">
        <f>IF($A15="","",IFERROR(SUMPRODUCT(('[1]عهد ومصروفات بدر'!$H$8:$H$5007=$A15)*('[1]عهد ومصروفات بدر'!$S$8:$S$5007=5)*'[1]عهد ومصروفات بدر'!$T$8:$T$5007),0))</f>
        <v/>
      </c>
      <c r="R15" s="24">
        <f>IF($A15="","",N(P15)-N(Q15))</f>
        <v/>
      </c>
      <c r="S15" s="22" t="n">
        <v>45000</v>
      </c>
      <c r="T15" s="23">
        <f>IF($A15="","",IFERROR(SUMPRODUCT(('[1]عهد ومصروفات بدر'!$H$8:$H$5007=$A15)*('[1]عهد ومصروفات بدر'!$S$8:$S$5007=6)*'[1]عهد ومصروفات بدر'!$T$8:$T$5007),0))</f>
        <v/>
      </c>
      <c r="U15" s="24">
        <f>IF($A15="","",N(S15)-N(T15))</f>
        <v/>
      </c>
      <c r="V15" s="22" t="n">
        <v>45000</v>
      </c>
      <c r="W15" s="23">
        <f>IF($A15="","",IFERROR(SUMPRODUCT(('[1]عهد ومصروفات بدر'!$H$8:$H$5007=$A15)*('[1]عهد ومصروفات بدر'!$S$8:$S$5007=7)*'[1]عهد ومصروفات بدر'!$T$8:$T$5007),0))</f>
        <v/>
      </c>
      <c r="X15" s="24">
        <f>IF($A15="","",N(V15)-N(W15))</f>
        <v/>
      </c>
      <c r="Y15" s="22" t="n">
        <v>0</v>
      </c>
      <c r="Z15" s="23">
        <f>IF($A15="","",IFERROR(SUMPRODUCT(('[1]عهد ومصروفات بدر'!$H$8:$H$5007=$A15)*('[1]عهد ومصروفات بدر'!$S$8:$S$5007=8)*'[1]عهد ومصروفات بدر'!$T$8:$T$5007),0))</f>
        <v/>
      </c>
      <c r="AA15" s="24">
        <f>IF($A15="","",N(Y15)-N(Z15))</f>
        <v/>
      </c>
      <c r="AB15" s="22" t="n">
        <v>0</v>
      </c>
      <c r="AC15" s="23">
        <f>IF($A15="","",IFERROR(SUMPRODUCT(('[1]عهد ومصروفات بدر'!$H$8:$H$5007=$A15)*('[1]عهد ومصروفات بدر'!$S$8:$S$5007=9)*'[1]عهد ومصروفات بدر'!$T$8:$T$5007),0))</f>
        <v/>
      </c>
      <c r="AD15" s="24">
        <f>IF($A15="","",N(AB15)-N(AC15))</f>
        <v/>
      </c>
      <c r="AE15" s="22" t="n">
        <v>0</v>
      </c>
      <c r="AF15" s="23">
        <f>IF($A15="","",IFERROR(SUMPRODUCT(('[1]عهد ومصروفات بدر'!$H$8:$H$5007=$A15)*('[1]عهد ومصروفات بدر'!$S$8:$S$5007=10)*'[1]عهد ومصروفات بدر'!$T$8:$T$5007),0))</f>
        <v/>
      </c>
      <c r="AG15" s="24">
        <f>IF($A15="","",N(AE15)-N(AF15))</f>
        <v/>
      </c>
      <c r="AH15" s="22" t="n">
        <v>0</v>
      </c>
      <c r="AI15" s="23">
        <f>IF($A15="","",IFERROR(SUMPRODUCT(('[1]عهد ومصروفات بدر'!$H$8:$H$5007=$A15)*('[1]عهد ومصروفات بدر'!$S$8:$S$5007=11)*'[1]عهد ومصروفات بدر'!$T$8:$T$5007),0))</f>
        <v/>
      </c>
      <c r="AJ15" s="24">
        <f>IF($A15="","",N(AH15)-N(AI15))</f>
        <v/>
      </c>
      <c r="AK15" s="22" t="n">
        <v>0</v>
      </c>
      <c r="AL15" s="23">
        <f>IF($A15="","",IFERROR(SUMPRODUCT(('[1]عهد ومصروفات بدر'!$H$8:$H$5007=$A15)*('[1]عهد ومصروفات بدر'!$S$8:$S$5007=12)*'[1]عهد ومصروفات بدر'!$T$8:$T$5007),0))</f>
        <v/>
      </c>
      <c r="AM15" s="24">
        <f>IF($A15="","",N(AK15)-N(AL15))</f>
        <v/>
      </c>
      <c r="AN15" s="25">
        <f>IF(A15="","",N(D15)+N(G15)+N(J15)+N(M15)+N(P15)+N(S15)+N(V15)+N(Y15)+N(AB15)+N(AE15)+N(AH15)+N(AK15))</f>
        <v/>
      </c>
      <c r="AO15" s="25">
        <f>IF(A15="","",N(E15)+N(H15)+N(K15)+N(N15)+N(Q15)+N(T15)+N(W15)+N(Z15)+N(AC15)+N(AF15)+N(AI15)+N(AL15))</f>
        <v/>
      </c>
      <c r="AP15" s="26">
        <f>IF(A15="","",N(B15)-AO15)</f>
        <v/>
      </c>
      <c r="AQ15">
        <f>IF(A15="",0,(N(F15)&lt;0)+(N(I15)&lt;0)+(N(L15)&lt;0)+(N(O15)&lt;0)+(N(R15)&lt;0)+(N(U15)&lt;0)+(N(X15)&lt;0)+(N(AA15)&lt;0)+(N(AD15)&lt;0)+(N(AG15)&lt;0)+(N(AJ15)&lt;0)+(N(AM15)&lt;0))</f>
        <v/>
      </c>
      <c r="AR15">
        <f>IF(A15="",0,MAX(0,-N(F15))+MAX(0,-N(I15))+MAX(0,-N(L15))+MAX(0,-N(O15))+MAX(0,-N(R15))+MAX(0,-N(U15))+MAX(0,-N(X15))+MAX(0,-N(AA15))+MAX(0,-N(AD15))+MAX(0,-N(AG15))+MAX(0,-N(AJ15))+MAX(0,-N(AM15)))</f>
        <v/>
      </c>
      <c r="AS15">
        <f>IF(A15="",0,IF(OR(N(AP15)&lt;0,AQ15&gt;0),1,0))</f>
        <v/>
      </c>
      <c r="AT15">
        <f>AT14+AS15</f>
        <v/>
      </c>
      <c r="AU15">
        <f>IF(A15="",-1,N(AO15)+ROW()/10000000)</f>
        <v/>
      </c>
    </row>
    <row r="16">
      <c r="A16" s="19" t="inlineStr">
        <is>
          <t>انتقالات الموقع – الصف الثانى</t>
        </is>
      </c>
      <c r="B16" s="20" t="n">
        <v>27000</v>
      </c>
      <c r="C16" s="21">
        <f>IF(A16="","",N(B16)/12)</f>
        <v/>
      </c>
      <c r="D16" s="22" t="n">
        <v>0</v>
      </c>
      <c r="E16" s="23">
        <f>IF($A16="","",IFERROR(SUMPRODUCT(('[1]عهد ومصروفات بدر'!$H$8:$H$5007=$A16)*('[1]عهد ومصروفات بدر'!$S$8:$S$5007=1)*'[1]عهد ومصروفات بدر'!$T$8:$T$5007),0))</f>
        <v/>
      </c>
      <c r="F16" s="24">
        <f>IF($A16="","",N(D16)-N(E16))</f>
        <v/>
      </c>
      <c r="G16" s="22" t="n">
        <v>0</v>
      </c>
      <c r="H16" s="23">
        <f>IF($A16="","",IFERROR(SUMPRODUCT(('[1]عهد ومصروفات بدر'!$H$8:$H$5007=$A16)*('[1]عهد ومصروفات بدر'!$S$8:$S$5007=2)*'[1]عهد ومصروفات بدر'!$T$8:$T$5007),0))</f>
        <v/>
      </c>
      <c r="I16" s="24">
        <f>IF($A16="","",N(G16)-N(H16))</f>
        <v/>
      </c>
      <c r="J16" s="22" t="n">
        <v>0</v>
      </c>
      <c r="K16" s="23">
        <f>IF($A16="","",IFERROR(SUMPRODUCT(('[1]عهد ومصروفات بدر'!$H$8:$H$5007=$A16)*('[1]عهد ومصروفات بدر'!$S$8:$S$5007=3)*'[1]عهد ومصروفات بدر'!$T$8:$T$5007),0))</f>
        <v/>
      </c>
      <c r="L16" s="24">
        <f>IF($A16="","",N(J16)-N(K16))</f>
        <v/>
      </c>
      <c r="M16" s="22" t="n">
        <v>0</v>
      </c>
      <c r="N16" s="23">
        <f>IF($A16="","",IFERROR(SUMPRODUCT(('[1]عهد ومصروفات بدر'!$H$8:$H$5007=$A16)*('[1]عهد ومصروفات بدر'!$S$8:$S$5007=4)*'[1]عهد ومصروفات بدر'!$T$8:$T$5007),0))</f>
        <v/>
      </c>
      <c r="O16" s="24">
        <f>IF($A16="","",N(M16)-N(N16))</f>
        <v/>
      </c>
      <c r="P16" s="22" t="n">
        <v>0</v>
      </c>
      <c r="Q16" s="23">
        <f>IF($A16="","",IFERROR(SUMPRODUCT(('[1]عهد ومصروفات بدر'!$H$8:$H$5007=$A16)*('[1]عهد ومصروفات بدر'!$S$8:$S$5007=5)*'[1]عهد ومصروفات بدر'!$T$8:$T$5007),0))</f>
        <v/>
      </c>
      <c r="R16" s="24">
        <f>IF($A16="","",N(P16)-N(Q16))</f>
        <v/>
      </c>
      <c r="S16" s="22" t="n">
        <v>50000</v>
      </c>
      <c r="T16" s="23">
        <f>IF($A16="","",IFERROR(SUMPRODUCT(('[1]عهد ومصروفات بدر'!$H$8:$H$5007=$A16)*('[1]عهد ومصروفات بدر'!$S$8:$S$5007=6)*'[1]عهد ومصروفات بدر'!$T$8:$T$5007),0))</f>
        <v/>
      </c>
      <c r="U16" s="24">
        <f>IF($A16="","",N(S16)-N(T16))</f>
        <v/>
      </c>
      <c r="V16" s="22" t="n">
        <v>85000</v>
      </c>
      <c r="W16" s="23">
        <f>IF($A16="","",IFERROR(SUMPRODUCT(('[1]عهد ومصروفات بدر'!$H$8:$H$5007=$A16)*('[1]عهد ومصروفات بدر'!$S$8:$S$5007=7)*'[1]عهد ومصروفات بدر'!$T$8:$T$5007),0))</f>
        <v/>
      </c>
      <c r="X16" s="24">
        <f>IF($A16="","",N(V16)-N(W16))</f>
        <v/>
      </c>
      <c r="Y16" s="22" t="n">
        <v>0</v>
      </c>
      <c r="Z16" s="23">
        <f>IF($A16="","",IFERROR(SUMPRODUCT(('[1]عهد ومصروفات بدر'!$H$8:$H$5007=$A16)*('[1]عهد ومصروفات بدر'!$S$8:$S$5007=8)*'[1]عهد ومصروفات بدر'!$T$8:$T$5007),0))</f>
        <v/>
      </c>
      <c r="AA16" s="24">
        <f>IF($A16="","",N(Y16)-N(Z16))</f>
        <v/>
      </c>
      <c r="AB16" s="22" t="n">
        <v>0</v>
      </c>
      <c r="AC16" s="23">
        <f>IF($A16="","",IFERROR(SUMPRODUCT(('[1]عهد ومصروفات بدر'!$H$8:$H$5007=$A16)*('[1]عهد ومصروفات بدر'!$S$8:$S$5007=9)*'[1]عهد ومصروفات بدر'!$T$8:$T$5007),0))</f>
        <v/>
      </c>
      <c r="AD16" s="24">
        <f>IF($A16="","",N(AB16)-N(AC16))</f>
        <v/>
      </c>
      <c r="AE16" s="22" t="n">
        <v>0</v>
      </c>
      <c r="AF16" s="23">
        <f>IF($A16="","",IFERROR(SUMPRODUCT(('[1]عهد ومصروفات بدر'!$H$8:$H$5007=$A16)*('[1]عهد ومصروفات بدر'!$S$8:$S$5007=10)*'[1]عهد ومصروفات بدر'!$T$8:$T$5007),0))</f>
        <v/>
      </c>
      <c r="AG16" s="24">
        <f>IF($A16="","",N(AE16)-N(AF16))</f>
        <v/>
      </c>
      <c r="AH16" s="22" t="n">
        <v>0</v>
      </c>
      <c r="AI16" s="23">
        <f>IF($A16="","",IFERROR(SUMPRODUCT(('[1]عهد ومصروفات بدر'!$H$8:$H$5007=$A16)*('[1]عهد ومصروفات بدر'!$S$8:$S$5007=11)*'[1]عهد ومصروفات بدر'!$T$8:$T$5007),0))</f>
        <v/>
      </c>
      <c r="AJ16" s="24">
        <f>IF($A16="","",N(AH16)-N(AI16))</f>
        <v/>
      </c>
      <c r="AK16" s="22" t="n">
        <v>0</v>
      </c>
      <c r="AL16" s="23">
        <f>IF($A16="","",IFERROR(SUMPRODUCT(('[1]عهد ومصروفات بدر'!$H$8:$H$5007=$A16)*('[1]عهد ومصروفات بدر'!$S$8:$S$5007=12)*'[1]عهد ومصروفات بدر'!$T$8:$T$5007),0))</f>
        <v/>
      </c>
      <c r="AM16" s="24">
        <f>IF($A16="","",N(AK16)-N(AL16))</f>
        <v/>
      </c>
      <c r="AN16" s="25">
        <f>IF(A16="","",N(D16)+N(G16)+N(J16)+N(M16)+N(P16)+N(S16)+N(V16)+N(Y16)+N(AB16)+N(AE16)+N(AH16)+N(AK16))</f>
        <v/>
      </c>
      <c r="AO16" s="25">
        <f>IF(A16="","",N(E16)+N(H16)+N(K16)+N(N16)+N(Q16)+N(T16)+N(W16)+N(Z16)+N(AC16)+N(AF16)+N(AI16)+N(AL16))</f>
        <v/>
      </c>
      <c r="AP16" s="26">
        <f>IF(A16="","",N(B16)-AO16)</f>
        <v/>
      </c>
      <c r="AQ16">
        <f>IF(A16="",0,(N(F16)&lt;0)+(N(I16)&lt;0)+(N(L16)&lt;0)+(N(O16)&lt;0)+(N(R16)&lt;0)+(N(U16)&lt;0)+(N(X16)&lt;0)+(N(AA16)&lt;0)+(N(AD16)&lt;0)+(N(AG16)&lt;0)+(N(AJ16)&lt;0)+(N(AM16)&lt;0))</f>
        <v/>
      </c>
      <c r="AR16">
        <f>IF(A16="",0,MAX(0,-N(F16))+MAX(0,-N(I16))+MAX(0,-N(L16))+MAX(0,-N(O16))+MAX(0,-N(R16))+MAX(0,-N(U16))+MAX(0,-N(X16))+MAX(0,-N(AA16))+MAX(0,-N(AD16))+MAX(0,-N(AG16))+MAX(0,-N(AJ16))+MAX(0,-N(AM16)))</f>
        <v/>
      </c>
      <c r="AS16">
        <f>IF(A16="",0,IF(OR(N(AP16)&lt;0,AQ16&gt;0),1,0))</f>
        <v/>
      </c>
      <c r="AT16">
        <f>AT15+AS16</f>
        <v/>
      </c>
      <c r="AU16">
        <f>IF(A16="",-1,N(AO16)+ROW()/10000000)</f>
        <v/>
      </c>
    </row>
    <row r="17">
      <c r="A17" s="19" t="inlineStr">
        <is>
          <t>وجبات الموقع – الصف الأول</t>
        </is>
      </c>
      <c r="B17" s="20" t="n">
        <v>17820</v>
      </c>
      <c r="C17" s="21">
        <f>IF(A17="","",N(B17)/12)</f>
        <v/>
      </c>
      <c r="D17" s="22" t="n">
        <v>0</v>
      </c>
      <c r="E17" s="23">
        <f>IF($A17="","",IFERROR(SUMPRODUCT(('[1]عهد ومصروفات بدر'!$H$8:$H$5007=$A17)*('[1]عهد ومصروفات بدر'!$S$8:$S$5007=1)*'[1]عهد ومصروفات بدر'!$T$8:$T$5007),0))</f>
        <v/>
      </c>
      <c r="F17" s="24">
        <f>IF($A17="","",N(D17)-N(E17))</f>
        <v/>
      </c>
      <c r="G17" s="22" t="n">
        <v>0</v>
      </c>
      <c r="H17" s="23">
        <f>IF($A17="","",IFERROR(SUMPRODUCT(('[1]عهد ومصروفات بدر'!$H$8:$H$5007=$A17)*('[1]عهد ومصروفات بدر'!$S$8:$S$5007=2)*'[1]عهد ومصروفات بدر'!$T$8:$T$5007),0))</f>
        <v/>
      </c>
      <c r="I17" s="24">
        <f>IF($A17="","",N(G17)-N(H17))</f>
        <v/>
      </c>
      <c r="J17" s="22" t="n">
        <v>0</v>
      </c>
      <c r="K17" s="23">
        <f>IF($A17="","",IFERROR(SUMPRODUCT(('[1]عهد ومصروفات بدر'!$H$8:$H$5007=$A17)*('[1]عهد ومصروفات بدر'!$S$8:$S$5007=3)*'[1]عهد ومصروفات بدر'!$T$8:$T$5007),0))</f>
        <v/>
      </c>
      <c r="L17" s="24">
        <f>IF($A17="","",N(J17)-N(K17))</f>
        <v/>
      </c>
      <c r="M17" s="22" t="n">
        <v>0</v>
      </c>
      <c r="N17" s="23">
        <f>IF($A17="","",IFERROR(SUMPRODUCT(('[1]عهد ومصروفات بدر'!$H$8:$H$5007=$A17)*('[1]عهد ومصروفات بدر'!$S$8:$S$5007=4)*'[1]عهد ومصروفات بدر'!$T$8:$T$5007),0))</f>
        <v/>
      </c>
      <c r="O17" s="24">
        <f>IF($A17="","",N(M17)-N(N17))</f>
        <v/>
      </c>
      <c r="P17" s="22" t="n">
        <v>0</v>
      </c>
      <c r="Q17" s="23">
        <f>IF($A17="","",IFERROR(SUMPRODUCT(('[1]عهد ومصروفات بدر'!$H$8:$H$5007=$A17)*('[1]عهد ومصروفات بدر'!$S$8:$S$5007=5)*'[1]عهد ومصروفات بدر'!$T$8:$T$5007),0))</f>
        <v/>
      </c>
      <c r="R17" s="24">
        <f>IF($A17="","",N(P17)-N(Q17))</f>
        <v/>
      </c>
      <c r="S17" s="22" t="n">
        <v>29700</v>
      </c>
      <c r="T17" s="23">
        <f>IF($A17="","",IFERROR(SUMPRODUCT(('[1]عهد ومصروفات بدر'!$H$8:$H$5007=$A17)*('[1]عهد ومصروفات بدر'!$S$8:$S$5007=6)*'[1]عهد ومصروفات بدر'!$T$8:$T$5007),0))</f>
        <v/>
      </c>
      <c r="U17" s="24">
        <f>IF($A17="","",N(S17)-N(T17))</f>
        <v/>
      </c>
      <c r="V17" s="22" t="n">
        <v>29700</v>
      </c>
      <c r="W17" s="23">
        <f>IF($A17="","",IFERROR(SUMPRODUCT(('[1]عهد ومصروفات بدر'!$H$8:$H$5007=$A17)*('[1]عهد ومصروفات بدر'!$S$8:$S$5007=7)*'[1]عهد ومصروفات بدر'!$T$8:$T$5007),0))</f>
        <v/>
      </c>
      <c r="X17" s="24">
        <f>IF($A17="","",N(V17)-N(W17))</f>
        <v/>
      </c>
      <c r="Y17" s="22" t="n">
        <v>0</v>
      </c>
      <c r="Z17" s="23">
        <f>IF($A17="","",IFERROR(SUMPRODUCT(('[1]عهد ومصروفات بدر'!$H$8:$H$5007=$A17)*('[1]عهد ومصروفات بدر'!$S$8:$S$5007=8)*'[1]عهد ومصروفات بدر'!$T$8:$T$5007),0))</f>
        <v/>
      </c>
      <c r="AA17" s="24">
        <f>IF($A17="","",N(Y17)-N(Z17))</f>
        <v/>
      </c>
      <c r="AB17" s="22" t="n">
        <v>0</v>
      </c>
      <c r="AC17" s="23">
        <f>IF($A17="","",IFERROR(SUMPRODUCT(('[1]عهد ومصروفات بدر'!$H$8:$H$5007=$A17)*('[1]عهد ومصروفات بدر'!$S$8:$S$5007=9)*'[1]عهد ومصروفات بدر'!$T$8:$T$5007),0))</f>
        <v/>
      </c>
      <c r="AD17" s="24">
        <f>IF($A17="","",N(AB17)-N(AC17))</f>
        <v/>
      </c>
      <c r="AE17" s="22" t="n">
        <v>0</v>
      </c>
      <c r="AF17" s="23">
        <f>IF($A17="","",IFERROR(SUMPRODUCT(('[1]عهد ومصروفات بدر'!$H$8:$H$5007=$A17)*('[1]عهد ومصروفات بدر'!$S$8:$S$5007=10)*'[1]عهد ومصروفات بدر'!$T$8:$T$5007),0))</f>
        <v/>
      </c>
      <c r="AG17" s="24">
        <f>IF($A17="","",N(AE17)-N(AF17))</f>
        <v/>
      </c>
      <c r="AH17" s="22" t="n">
        <v>0</v>
      </c>
      <c r="AI17" s="23">
        <f>IF($A17="","",IFERROR(SUMPRODUCT(('[1]عهد ومصروفات بدر'!$H$8:$H$5007=$A17)*('[1]عهد ومصروفات بدر'!$S$8:$S$5007=11)*'[1]عهد ومصروفات بدر'!$T$8:$T$5007),0))</f>
        <v/>
      </c>
      <c r="AJ17" s="24">
        <f>IF($A17="","",N(AH17)-N(AI17))</f>
        <v/>
      </c>
      <c r="AK17" s="22" t="n">
        <v>0</v>
      </c>
      <c r="AL17" s="23">
        <f>IF($A17="","",IFERROR(SUMPRODUCT(('[1]عهد ومصروفات بدر'!$H$8:$H$5007=$A17)*('[1]عهد ومصروفات بدر'!$S$8:$S$5007=12)*'[1]عهد ومصروفات بدر'!$T$8:$T$5007),0))</f>
        <v/>
      </c>
      <c r="AM17" s="24">
        <f>IF($A17="","",N(AK17)-N(AL17))</f>
        <v/>
      </c>
      <c r="AN17" s="25">
        <f>IF(A17="","",N(D17)+N(G17)+N(J17)+N(M17)+N(P17)+N(S17)+N(V17)+N(Y17)+N(AB17)+N(AE17)+N(AH17)+N(AK17))</f>
        <v/>
      </c>
      <c r="AO17" s="25">
        <f>IF(A17="","",N(E17)+N(H17)+N(K17)+N(N17)+N(Q17)+N(T17)+N(W17)+N(Z17)+N(AC17)+N(AF17)+N(AI17)+N(AL17))</f>
        <v/>
      </c>
      <c r="AP17" s="26">
        <f>IF(A17="","",N(B17)-AO17)</f>
        <v/>
      </c>
      <c r="AQ17">
        <f>IF(A17="",0,(N(F17)&lt;0)+(N(I17)&lt;0)+(N(L17)&lt;0)+(N(O17)&lt;0)+(N(R17)&lt;0)+(N(U17)&lt;0)+(N(X17)&lt;0)+(N(AA17)&lt;0)+(N(AD17)&lt;0)+(N(AG17)&lt;0)+(N(AJ17)&lt;0)+(N(AM17)&lt;0))</f>
        <v/>
      </c>
      <c r="AR17">
        <f>IF(A17="",0,MAX(0,-N(F17))+MAX(0,-N(I17))+MAX(0,-N(L17))+MAX(0,-N(O17))+MAX(0,-N(R17))+MAX(0,-N(U17))+MAX(0,-N(X17))+MAX(0,-N(AA17))+MAX(0,-N(AD17))+MAX(0,-N(AG17))+MAX(0,-N(AJ17))+MAX(0,-N(AM17)))</f>
        <v/>
      </c>
      <c r="AS17">
        <f>IF(A17="",0,IF(OR(N(AP17)&lt;0,AQ17&gt;0),1,0))</f>
        <v/>
      </c>
      <c r="AT17">
        <f>AT16+AS17</f>
        <v/>
      </c>
      <c r="AU17">
        <f>IF(A17="",-1,N(AO17)+ROW()/10000000)</f>
        <v/>
      </c>
    </row>
    <row r="18">
      <c r="A18" s="19" t="inlineStr">
        <is>
          <t>وجبات الموقع – الصف الثانى</t>
        </is>
      </c>
      <c r="B18" s="20" t="n">
        <v>10065</v>
      </c>
      <c r="C18" s="21">
        <f>IF(A18="","",N(B18)/12)</f>
        <v/>
      </c>
      <c r="D18" s="22" t="n">
        <v>0</v>
      </c>
      <c r="E18" s="23">
        <f>IF($A18="","",IFERROR(SUMPRODUCT(('[1]عهد ومصروفات بدر'!$H$8:$H$5007=$A18)*('[1]عهد ومصروفات بدر'!$S$8:$S$5007=1)*'[1]عهد ومصروفات بدر'!$T$8:$T$5007),0))</f>
        <v/>
      </c>
      <c r="F18" s="24">
        <f>IF($A18="","",N(D18)-N(E18))</f>
        <v/>
      </c>
      <c r="G18" s="22" t="n">
        <v>0</v>
      </c>
      <c r="H18" s="23">
        <f>IF($A18="","",IFERROR(SUMPRODUCT(('[1]عهد ومصروفات بدر'!$H$8:$H$5007=$A18)*('[1]عهد ومصروفات بدر'!$S$8:$S$5007=2)*'[1]عهد ومصروفات بدر'!$T$8:$T$5007),0))</f>
        <v/>
      </c>
      <c r="I18" s="24">
        <f>IF($A18="","",N(G18)-N(H18))</f>
        <v/>
      </c>
      <c r="J18" s="22" t="n">
        <v>0</v>
      </c>
      <c r="K18" s="23">
        <f>IF($A18="","",IFERROR(SUMPRODUCT(('[1]عهد ومصروفات بدر'!$H$8:$H$5007=$A18)*('[1]عهد ومصروفات بدر'!$S$8:$S$5007=3)*'[1]عهد ومصروفات بدر'!$T$8:$T$5007),0))</f>
        <v/>
      </c>
      <c r="L18" s="24">
        <f>IF($A18="","",N(J18)-N(K18))</f>
        <v/>
      </c>
      <c r="M18" s="22" t="n">
        <v>0</v>
      </c>
      <c r="N18" s="23">
        <f>IF($A18="","",IFERROR(SUMPRODUCT(('[1]عهد ومصروفات بدر'!$H$8:$H$5007=$A18)*('[1]عهد ومصروفات بدر'!$S$8:$S$5007=4)*'[1]عهد ومصروفات بدر'!$T$8:$T$5007),0))</f>
        <v/>
      </c>
      <c r="O18" s="24">
        <f>IF($A18="","",N(M18)-N(N18))</f>
        <v/>
      </c>
      <c r="P18" s="22" t="n">
        <v>0</v>
      </c>
      <c r="Q18" s="23">
        <f>IF($A18="","",IFERROR(SUMPRODUCT(('[1]عهد ومصروفات بدر'!$H$8:$H$5007=$A18)*('[1]عهد ومصروفات بدر'!$S$8:$S$5007=5)*'[1]عهد ومصروفات بدر'!$T$8:$T$5007),0))</f>
        <v/>
      </c>
      <c r="R18" s="24">
        <f>IF($A18="","",N(P18)-N(Q18))</f>
        <v/>
      </c>
      <c r="S18" s="22" t="n">
        <v>18614.81481481481</v>
      </c>
      <c r="T18" s="23">
        <f>IF($A18="","",IFERROR(SUMPRODUCT(('[1]عهد ومصروفات بدر'!$H$8:$H$5007=$A18)*('[1]عهد ومصروفات بدر'!$S$8:$S$5007=6)*'[1]عهد ومصروفات بدر'!$T$8:$T$5007),0))</f>
        <v/>
      </c>
      <c r="U18" s="24">
        <f>IF($A18="","",N(S18)-N(T18))</f>
        <v/>
      </c>
      <c r="V18" s="22" t="n">
        <v>31645.18518518519</v>
      </c>
      <c r="W18" s="23">
        <f>IF($A18="","",IFERROR(SUMPRODUCT(('[1]عهد ومصروفات بدر'!$H$8:$H$5007=$A18)*('[1]عهد ومصروفات بدر'!$S$8:$S$5007=7)*'[1]عهد ومصروفات بدر'!$T$8:$T$5007),0))</f>
        <v/>
      </c>
      <c r="X18" s="24">
        <f>IF($A18="","",N(V18)-N(W18))</f>
        <v/>
      </c>
      <c r="Y18" s="22" t="n">
        <v>0</v>
      </c>
      <c r="Z18" s="23">
        <f>IF($A18="","",IFERROR(SUMPRODUCT(('[1]عهد ومصروفات بدر'!$H$8:$H$5007=$A18)*('[1]عهد ومصروفات بدر'!$S$8:$S$5007=8)*'[1]عهد ومصروفات بدر'!$T$8:$T$5007),0))</f>
        <v/>
      </c>
      <c r="AA18" s="24">
        <f>IF($A18="","",N(Y18)-N(Z18))</f>
        <v/>
      </c>
      <c r="AB18" s="22" t="n">
        <v>0</v>
      </c>
      <c r="AC18" s="23">
        <f>IF($A18="","",IFERROR(SUMPRODUCT(('[1]عهد ومصروفات بدر'!$H$8:$H$5007=$A18)*('[1]عهد ومصروفات بدر'!$S$8:$S$5007=9)*'[1]عهد ومصروفات بدر'!$T$8:$T$5007),0))</f>
        <v/>
      </c>
      <c r="AD18" s="24">
        <f>IF($A18="","",N(AB18)-N(AC18))</f>
        <v/>
      </c>
      <c r="AE18" s="22" t="n">
        <v>0</v>
      </c>
      <c r="AF18" s="23">
        <f>IF($A18="","",IFERROR(SUMPRODUCT(('[1]عهد ومصروفات بدر'!$H$8:$H$5007=$A18)*('[1]عهد ومصروفات بدر'!$S$8:$S$5007=10)*'[1]عهد ومصروفات بدر'!$T$8:$T$5007),0))</f>
        <v/>
      </c>
      <c r="AG18" s="24">
        <f>IF($A18="","",N(AE18)-N(AF18))</f>
        <v/>
      </c>
      <c r="AH18" s="22" t="n">
        <v>0</v>
      </c>
      <c r="AI18" s="23">
        <f>IF($A18="","",IFERROR(SUMPRODUCT(('[1]عهد ومصروفات بدر'!$H$8:$H$5007=$A18)*('[1]عهد ومصروفات بدر'!$S$8:$S$5007=11)*'[1]عهد ومصروفات بدر'!$T$8:$T$5007),0))</f>
        <v/>
      </c>
      <c r="AJ18" s="24">
        <f>IF($A18="","",N(AH18)-N(AI18))</f>
        <v/>
      </c>
      <c r="AK18" s="22" t="n">
        <v>0</v>
      </c>
      <c r="AL18" s="23">
        <f>IF($A18="","",IFERROR(SUMPRODUCT(('[1]عهد ومصروفات بدر'!$H$8:$H$5007=$A18)*('[1]عهد ومصروفات بدر'!$S$8:$S$5007=12)*'[1]عهد ومصروفات بدر'!$T$8:$T$5007),0))</f>
        <v/>
      </c>
      <c r="AM18" s="24">
        <f>IF($A18="","",N(AK18)-N(AL18))</f>
        <v/>
      </c>
      <c r="AN18" s="25">
        <f>IF(A18="","",N(D18)+N(G18)+N(J18)+N(M18)+N(P18)+N(S18)+N(V18)+N(Y18)+N(AB18)+N(AE18)+N(AH18)+N(AK18))</f>
        <v/>
      </c>
      <c r="AO18" s="25">
        <f>IF(A18="","",N(E18)+N(H18)+N(K18)+N(N18)+N(Q18)+N(T18)+N(W18)+N(Z18)+N(AC18)+N(AF18)+N(AI18)+N(AL18))</f>
        <v/>
      </c>
      <c r="AP18" s="26">
        <f>IF(A18="","",N(B18)-AO18)</f>
        <v/>
      </c>
      <c r="AQ18">
        <f>IF(A18="",0,(N(F18)&lt;0)+(N(I18)&lt;0)+(N(L18)&lt;0)+(N(O18)&lt;0)+(N(R18)&lt;0)+(N(U18)&lt;0)+(N(X18)&lt;0)+(N(AA18)&lt;0)+(N(AD18)&lt;0)+(N(AG18)&lt;0)+(N(AJ18)&lt;0)+(N(AM18)&lt;0))</f>
        <v/>
      </c>
      <c r="AR18">
        <f>IF(A18="",0,MAX(0,-N(F18))+MAX(0,-N(I18))+MAX(0,-N(L18))+MAX(0,-N(O18))+MAX(0,-N(R18))+MAX(0,-N(U18))+MAX(0,-N(X18))+MAX(0,-N(AA18))+MAX(0,-N(AD18))+MAX(0,-N(AG18))+MAX(0,-N(AJ18))+MAX(0,-N(AM18)))</f>
        <v/>
      </c>
      <c r="AS18">
        <f>IF(A18="",0,IF(OR(N(AP18)&lt;0,AQ18&gt;0),1,0))</f>
        <v/>
      </c>
      <c r="AT18">
        <f>AT17+AS18</f>
        <v/>
      </c>
      <c r="AU18">
        <f>IF(A18="",-1,N(AO18)+ROW()/10000000)</f>
        <v/>
      </c>
    </row>
    <row r="19">
      <c r="A19" s="19" t="inlineStr">
        <is>
          <t>التأمين على الطلاب والعاملين</t>
        </is>
      </c>
      <c r="B19" s="20" t="n">
        <v>43050</v>
      </c>
      <c r="C19" s="21">
        <f>IF(A19="","",N(B19)/12)</f>
        <v/>
      </c>
      <c r="D19" s="22" t="n">
        <v>43050</v>
      </c>
      <c r="E19" s="23">
        <f>IF($A19="","",IFERROR(SUMPRODUCT(('[1]عهد ومصروفات بدر'!$H$8:$H$5007=$A19)*('[1]عهد ومصروفات بدر'!$S$8:$S$5007=1)*'[1]عهد ومصروفات بدر'!$T$8:$T$5007),0))</f>
        <v/>
      </c>
      <c r="F19" s="24">
        <f>IF($A19="","",N(D19)-N(E19))</f>
        <v/>
      </c>
      <c r="G19" s="22" t="n">
        <v>0</v>
      </c>
      <c r="H19" s="23">
        <f>IF($A19="","",IFERROR(SUMPRODUCT(('[1]عهد ومصروفات بدر'!$H$8:$H$5007=$A19)*('[1]عهد ومصروفات بدر'!$S$8:$S$5007=2)*'[1]عهد ومصروفات بدر'!$T$8:$T$5007),0))</f>
        <v/>
      </c>
      <c r="I19" s="24">
        <f>IF($A19="","",N(G19)-N(H19))</f>
        <v/>
      </c>
      <c r="J19" s="22" t="n">
        <v>0</v>
      </c>
      <c r="K19" s="23">
        <f>IF($A19="","",IFERROR(SUMPRODUCT(('[1]عهد ومصروفات بدر'!$H$8:$H$5007=$A19)*('[1]عهد ومصروفات بدر'!$S$8:$S$5007=3)*'[1]عهد ومصروفات بدر'!$T$8:$T$5007),0))</f>
        <v/>
      </c>
      <c r="L19" s="24">
        <f>IF($A19="","",N(J19)-N(K19))</f>
        <v/>
      </c>
      <c r="M19" s="22" t="n">
        <v>0</v>
      </c>
      <c r="N19" s="23">
        <f>IF($A19="","",IFERROR(SUMPRODUCT(('[1]عهد ومصروفات بدر'!$H$8:$H$5007=$A19)*('[1]عهد ومصروفات بدر'!$S$8:$S$5007=4)*'[1]عهد ومصروفات بدر'!$T$8:$T$5007),0))</f>
        <v/>
      </c>
      <c r="O19" s="24">
        <f>IF($A19="","",N(M19)-N(N19))</f>
        <v/>
      </c>
      <c r="P19" s="22" t="n">
        <v>0</v>
      </c>
      <c r="Q19" s="23">
        <f>IF($A19="","",IFERROR(SUMPRODUCT(('[1]عهد ومصروفات بدر'!$H$8:$H$5007=$A19)*('[1]عهد ومصروفات بدر'!$S$8:$S$5007=5)*'[1]عهد ومصروفات بدر'!$T$8:$T$5007),0))</f>
        <v/>
      </c>
      <c r="R19" s="24">
        <f>IF($A19="","",N(P19)-N(Q19))</f>
        <v/>
      </c>
      <c r="S19" s="22" t="n">
        <v>0</v>
      </c>
      <c r="T19" s="23">
        <f>IF($A19="","",IFERROR(SUMPRODUCT(('[1]عهد ومصروفات بدر'!$H$8:$H$5007=$A19)*('[1]عهد ومصروفات بدر'!$S$8:$S$5007=6)*'[1]عهد ومصروفات بدر'!$T$8:$T$5007),0))</f>
        <v/>
      </c>
      <c r="U19" s="24">
        <f>IF($A19="","",N(S19)-N(T19))</f>
        <v/>
      </c>
      <c r="V19" s="22" t="n">
        <v>0</v>
      </c>
      <c r="W19" s="23">
        <f>IF($A19="","",IFERROR(SUMPRODUCT(('[1]عهد ومصروفات بدر'!$H$8:$H$5007=$A19)*('[1]عهد ومصروفات بدر'!$S$8:$S$5007=7)*'[1]عهد ومصروفات بدر'!$T$8:$T$5007),0))</f>
        <v/>
      </c>
      <c r="X19" s="24">
        <f>IF($A19="","",N(V19)-N(W19))</f>
        <v/>
      </c>
      <c r="Y19" s="22" t="n">
        <v>0</v>
      </c>
      <c r="Z19" s="23">
        <f>IF($A19="","",IFERROR(SUMPRODUCT(('[1]عهد ومصروفات بدر'!$H$8:$H$5007=$A19)*('[1]عهد ومصروفات بدر'!$S$8:$S$5007=8)*'[1]عهد ومصروفات بدر'!$T$8:$T$5007),0))</f>
        <v/>
      </c>
      <c r="AA19" s="24">
        <f>IF($A19="","",N(Y19)-N(Z19))</f>
        <v/>
      </c>
      <c r="AB19" s="22" t="n">
        <v>0</v>
      </c>
      <c r="AC19" s="23">
        <f>IF($A19="","",IFERROR(SUMPRODUCT(('[1]عهد ومصروفات بدر'!$H$8:$H$5007=$A19)*('[1]عهد ومصروفات بدر'!$S$8:$S$5007=9)*'[1]عهد ومصروفات بدر'!$T$8:$T$5007),0))</f>
        <v/>
      </c>
      <c r="AD19" s="24">
        <f>IF($A19="","",N(AB19)-N(AC19))</f>
        <v/>
      </c>
      <c r="AE19" s="22" t="n">
        <v>0</v>
      </c>
      <c r="AF19" s="23">
        <f>IF($A19="","",IFERROR(SUMPRODUCT(('[1]عهد ومصروفات بدر'!$H$8:$H$5007=$A19)*('[1]عهد ومصروفات بدر'!$S$8:$S$5007=10)*'[1]عهد ومصروفات بدر'!$T$8:$T$5007),0))</f>
        <v/>
      </c>
      <c r="AG19" s="24">
        <f>IF($A19="","",N(AE19)-N(AF19))</f>
        <v/>
      </c>
      <c r="AH19" s="22" t="n">
        <v>0</v>
      </c>
      <c r="AI19" s="23">
        <f>IF($A19="","",IFERROR(SUMPRODUCT(('[1]عهد ومصروفات بدر'!$H$8:$H$5007=$A19)*('[1]عهد ومصروفات بدر'!$S$8:$S$5007=11)*'[1]عهد ومصروفات بدر'!$T$8:$T$5007),0))</f>
        <v/>
      </c>
      <c r="AJ19" s="24">
        <f>IF($A19="","",N(AH19)-N(AI19))</f>
        <v/>
      </c>
      <c r="AK19" s="22" t="n">
        <v>0</v>
      </c>
      <c r="AL19" s="23">
        <f>IF($A19="","",IFERROR(SUMPRODUCT(('[1]عهد ومصروفات بدر'!$H$8:$H$5007=$A19)*('[1]عهد ومصروفات بدر'!$S$8:$S$5007=12)*'[1]عهد ومصروفات بدر'!$T$8:$T$5007),0))</f>
        <v/>
      </c>
      <c r="AM19" s="24">
        <f>IF($A19="","",N(AK19)-N(AL19))</f>
        <v/>
      </c>
      <c r="AN19" s="25">
        <f>IF(A19="","",N(D19)+N(G19)+N(J19)+N(M19)+N(P19)+N(S19)+N(V19)+N(Y19)+N(AB19)+N(AE19)+N(AH19)+N(AK19))</f>
        <v/>
      </c>
      <c r="AO19" s="25">
        <f>IF(A19="","",N(E19)+N(H19)+N(K19)+N(N19)+N(Q19)+N(T19)+N(W19)+N(Z19)+N(AC19)+N(AF19)+N(AI19)+N(AL19))</f>
        <v/>
      </c>
      <c r="AP19" s="26">
        <f>IF(A19="","",N(B19)-AO19)</f>
        <v/>
      </c>
      <c r="AQ19">
        <f>IF(A19="",0,(N(F19)&lt;0)+(N(I19)&lt;0)+(N(L19)&lt;0)+(N(O19)&lt;0)+(N(R19)&lt;0)+(N(U19)&lt;0)+(N(X19)&lt;0)+(N(AA19)&lt;0)+(N(AD19)&lt;0)+(N(AG19)&lt;0)+(N(AJ19)&lt;0)+(N(AM19)&lt;0))</f>
        <v/>
      </c>
      <c r="AR19">
        <f>IF(A19="",0,MAX(0,-N(F19))+MAX(0,-N(I19))+MAX(0,-N(L19))+MAX(0,-N(O19))+MAX(0,-N(R19))+MAX(0,-N(U19))+MAX(0,-N(X19))+MAX(0,-N(AA19))+MAX(0,-N(AD19))+MAX(0,-N(AG19))+MAX(0,-N(AJ19))+MAX(0,-N(AM19)))</f>
        <v/>
      </c>
      <c r="AS19">
        <f>IF(A19="",0,IF(OR(N(AP19)&lt;0,AQ19&gt;0),1,0))</f>
        <v/>
      </c>
      <c r="AT19">
        <f>AT18+AS19</f>
        <v/>
      </c>
      <c r="AU19">
        <f>IF(A19="",-1,N(AO19)+ROW()/10000000)</f>
        <v/>
      </c>
    </row>
    <row r="20">
      <c r="A20" s="19" t="inlineStr">
        <is>
          <t>حافز برنامج المهارات الحياتية (سمات)</t>
        </is>
      </c>
      <c r="B20" s="20" t="n">
        <v>100000</v>
      </c>
      <c r="C20" s="21">
        <f>IF(A20="","",N(B20)/12)</f>
        <v/>
      </c>
      <c r="D20" s="22" t="n">
        <v>10000</v>
      </c>
      <c r="E20" s="23">
        <f>IF($A20="","",IFERROR(SUMPRODUCT(('[1]عهد ومصروفات بدر'!$H$8:$H$5007=$A20)*('[1]عهد ومصروفات بدر'!$S$8:$S$5007=1)*'[1]عهد ومصروفات بدر'!$T$8:$T$5007),0))</f>
        <v/>
      </c>
      <c r="F20" s="24">
        <f>IF($A20="","",N(D20)-N(E20))</f>
        <v/>
      </c>
      <c r="G20" s="22" t="n">
        <v>10000</v>
      </c>
      <c r="H20" s="23">
        <f>IF($A20="","",IFERROR(SUMPRODUCT(('[1]عهد ومصروفات بدر'!$H$8:$H$5007=$A20)*('[1]عهد ومصروفات بدر'!$S$8:$S$5007=2)*'[1]عهد ومصروفات بدر'!$T$8:$T$5007),0))</f>
        <v/>
      </c>
      <c r="I20" s="24">
        <f>IF($A20="","",N(G20)-N(H20))</f>
        <v/>
      </c>
      <c r="J20" s="22" t="n">
        <v>10000</v>
      </c>
      <c r="K20" s="23">
        <f>IF($A20="","",IFERROR(SUMPRODUCT(('[1]عهد ومصروفات بدر'!$H$8:$H$5007=$A20)*('[1]عهد ومصروفات بدر'!$S$8:$S$5007=3)*'[1]عهد ومصروفات بدر'!$T$8:$T$5007),0))</f>
        <v/>
      </c>
      <c r="L20" s="24">
        <f>IF($A20="","",N(J20)-N(K20))</f>
        <v/>
      </c>
      <c r="M20" s="22" t="n">
        <v>10000</v>
      </c>
      <c r="N20" s="23">
        <f>IF($A20="","",IFERROR(SUMPRODUCT(('[1]عهد ومصروفات بدر'!$H$8:$H$5007=$A20)*('[1]عهد ومصروفات بدر'!$S$8:$S$5007=4)*'[1]عهد ومصروفات بدر'!$T$8:$T$5007),0))</f>
        <v/>
      </c>
      <c r="O20" s="24">
        <f>IF($A20="","",N(M20)-N(N20))</f>
        <v/>
      </c>
      <c r="P20" s="22" t="n">
        <v>15000</v>
      </c>
      <c r="Q20" s="23">
        <f>IF($A20="","",IFERROR(SUMPRODUCT(('[1]عهد ومصروفات بدر'!$H$8:$H$5007=$A20)*('[1]عهد ومصروفات بدر'!$S$8:$S$5007=5)*'[1]عهد ومصروفات بدر'!$T$8:$T$5007),0))</f>
        <v/>
      </c>
      <c r="R20" s="24">
        <f>IF($A20="","",N(P20)-N(Q20))</f>
        <v/>
      </c>
      <c r="S20" s="22" t="n">
        <v>15000</v>
      </c>
      <c r="T20" s="23">
        <f>IF($A20="","",IFERROR(SUMPRODUCT(('[1]عهد ومصروفات بدر'!$H$8:$H$5007=$A20)*('[1]عهد ومصروفات بدر'!$S$8:$S$5007=6)*'[1]عهد ومصروفات بدر'!$T$8:$T$5007),0))</f>
        <v/>
      </c>
      <c r="U20" s="24">
        <f>IF($A20="","",N(S20)-N(T20))</f>
        <v/>
      </c>
      <c r="V20" s="22" t="n">
        <v>15000</v>
      </c>
      <c r="W20" s="23">
        <f>IF($A20="","",IFERROR(SUMPRODUCT(('[1]عهد ومصروفات بدر'!$H$8:$H$5007=$A20)*('[1]عهد ومصروفات بدر'!$S$8:$S$5007=7)*'[1]عهد ومصروفات بدر'!$T$8:$T$5007),0))</f>
        <v/>
      </c>
      <c r="X20" s="24">
        <f>IF($A20="","",N(V20)-N(W20))</f>
        <v/>
      </c>
      <c r="Y20" s="22" t="n">
        <v>15000</v>
      </c>
      <c r="Z20" s="23">
        <f>IF($A20="","",IFERROR(SUMPRODUCT(('[1]عهد ومصروفات بدر'!$H$8:$H$5007=$A20)*('[1]عهد ومصروفات بدر'!$S$8:$S$5007=8)*'[1]عهد ومصروفات بدر'!$T$8:$T$5007),0))</f>
        <v/>
      </c>
      <c r="AA20" s="24">
        <f>IF($A20="","",N(Y20)-N(Z20))</f>
        <v/>
      </c>
      <c r="AB20" s="22" t="n">
        <v>0</v>
      </c>
      <c r="AC20" s="23">
        <f>IF($A20="","",IFERROR(SUMPRODUCT(('[1]عهد ومصروفات بدر'!$H$8:$H$5007=$A20)*('[1]عهد ومصروفات بدر'!$S$8:$S$5007=9)*'[1]عهد ومصروفات بدر'!$T$8:$T$5007),0))</f>
        <v/>
      </c>
      <c r="AD20" s="24">
        <f>IF($A20="","",N(AB20)-N(AC20))</f>
        <v/>
      </c>
      <c r="AE20" s="22" t="n">
        <v>0</v>
      </c>
      <c r="AF20" s="23">
        <f>IF($A20="","",IFERROR(SUMPRODUCT(('[1]عهد ومصروفات بدر'!$H$8:$H$5007=$A20)*('[1]عهد ومصروفات بدر'!$S$8:$S$5007=10)*'[1]عهد ومصروفات بدر'!$T$8:$T$5007),0))</f>
        <v/>
      </c>
      <c r="AG20" s="24">
        <f>IF($A20="","",N(AE20)-N(AF20))</f>
        <v/>
      </c>
      <c r="AH20" s="22" t="n">
        <v>0</v>
      </c>
      <c r="AI20" s="23">
        <f>IF($A20="","",IFERROR(SUMPRODUCT(('[1]عهد ومصروفات بدر'!$H$8:$H$5007=$A20)*('[1]عهد ومصروفات بدر'!$S$8:$S$5007=11)*'[1]عهد ومصروفات بدر'!$T$8:$T$5007),0))</f>
        <v/>
      </c>
      <c r="AJ20" s="24">
        <f>IF($A20="","",N(AH20)-N(AI20))</f>
        <v/>
      </c>
      <c r="AK20" s="22" t="n">
        <v>0</v>
      </c>
      <c r="AL20" s="23">
        <f>IF($A20="","",IFERROR(SUMPRODUCT(('[1]عهد ومصروفات بدر'!$H$8:$H$5007=$A20)*('[1]عهد ومصروفات بدر'!$S$8:$S$5007=12)*'[1]عهد ومصروفات بدر'!$T$8:$T$5007),0))</f>
        <v/>
      </c>
      <c r="AM20" s="24">
        <f>IF($A20="","",N(AK20)-N(AL20))</f>
        <v/>
      </c>
      <c r="AN20" s="25">
        <f>IF(A20="","",N(D20)+N(G20)+N(J20)+N(M20)+N(P20)+N(S20)+N(V20)+N(Y20)+N(AB20)+N(AE20)+N(AH20)+N(AK20))</f>
        <v/>
      </c>
      <c r="AO20" s="25">
        <f>IF(A20="","",N(E20)+N(H20)+N(K20)+N(N20)+N(Q20)+N(T20)+N(W20)+N(Z20)+N(AC20)+N(AF20)+N(AI20)+N(AL20))</f>
        <v/>
      </c>
      <c r="AP20" s="26">
        <f>IF(A20="","",N(B20)-AO20)</f>
        <v/>
      </c>
      <c r="AQ20">
        <f>IF(A20="",0,(N(F20)&lt;0)+(N(I20)&lt;0)+(N(L20)&lt;0)+(N(O20)&lt;0)+(N(R20)&lt;0)+(N(U20)&lt;0)+(N(X20)&lt;0)+(N(AA20)&lt;0)+(N(AD20)&lt;0)+(N(AG20)&lt;0)+(N(AJ20)&lt;0)+(N(AM20)&lt;0))</f>
        <v/>
      </c>
      <c r="AR20">
        <f>IF(A20="",0,MAX(0,-N(F20))+MAX(0,-N(I20))+MAX(0,-N(L20))+MAX(0,-N(O20))+MAX(0,-N(R20))+MAX(0,-N(U20))+MAX(0,-N(X20))+MAX(0,-N(AA20))+MAX(0,-N(AD20))+MAX(0,-N(AG20))+MAX(0,-N(AJ20))+MAX(0,-N(AM20)))</f>
        <v/>
      </c>
      <c r="AS20">
        <f>IF(A20="",0,IF(OR(N(AP20)&lt;0,AQ20&gt;0),1,0))</f>
        <v/>
      </c>
      <c r="AT20">
        <f>AT19+AS20</f>
        <v/>
      </c>
      <c r="AU20">
        <f>IF(A20="",-1,N(AO20)+ROW()/10000000)</f>
        <v/>
      </c>
    </row>
    <row r="21">
      <c r="A21" s="19" t="inlineStr">
        <is>
          <t>مطبوعات</t>
        </is>
      </c>
      <c r="B21" s="20" t="n">
        <v>37950</v>
      </c>
      <c r="C21" s="21">
        <f>IF(A21="","",N(B21)/12)</f>
        <v/>
      </c>
      <c r="D21" s="22" t="n">
        <v>37950</v>
      </c>
      <c r="E21" s="23">
        <f>IF($A21="","",IFERROR(SUMPRODUCT(('[1]عهد ومصروفات بدر'!$H$8:$H$5007=$A21)*('[1]عهد ومصروفات بدر'!$S$8:$S$5007=1)*'[1]عهد ومصروفات بدر'!$T$8:$T$5007),0))</f>
        <v/>
      </c>
      <c r="F21" s="24">
        <f>IF($A21="","",N(D21)-N(E21))</f>
        <v/>
      </c>
      <c r="G21" s="22" t="n">
        <v>0</v>
      </c>
      <c r="H21" s="23">
        <f>IF($A21="","",IFERROR(SUMPRODUCT(('[1]عهد ومصروفات بدر'!$H$8:$H$5007=$A21)*('[1]عهد ومصروفات بدر'!$S$8:$S$5007=2)*'[1]عهد ومصروفات بدر'!$T$8:$T$5007),0))</f>
        <v/>
      </c>
      <c r="I21" s="24">
        <f>IF($A21="","",N(G21)-N(H21))</f>
        <v/>
      </c>
      <c r="J21" s="22" t="n">
        <v>0</v>
      </c>
      <c r="K21" s="23">
        <f>IF($A21="","",IFERROR(SUMPRODUCT(('[1]عهد ومصروفات بدر'!$H$8:$H$5007=$A21)*('[1]عهد ومصروفات بدر'!$S$8:$S$5007=3)*'[1]عهد ومصروفات بدر'!$T$8:$T$5007),0))</f>
        <v/>
      </c>
      <c r="L21" s="24">
        <f>IF($A21="","",N(J21)-N(K21))</f>
        <v/>
      </c>
      <c r="M21" s="22" t="n">
        <v>0</v>
      </c>
      <c r="N21" s="23">
        <f>IF($A21="","",IFERROR(SUMPRODUCT(('[1]عهد ومصروفات بدر'!$H$8:$H$5007=$A21)*('[1]عهد ومصروفات بدر'!$S$8:$S$5007=4)*'[1]عهد ومصروفات بدر'!$T$8:$T$5007),0))</f>
        <v/>
      </c>
      <c r="O21" s="24">
        <f>IF($A21="","",N(M21)-N(N21))</f>
        <v/>
      </c>
      <c r="P21" s="22" t="n">
        <v>0</v>
      </c>
      <c r="Q21" s="23">
        <f>IF($A21="","",IFERROR(SUMPRODUCT(('[1]عهد ومصروفات بدر'!$H$8:$H$5007=$A21)*('[1]عهد ومصروفات بدر'!$S$8:$S$5007=5)*'[1]عهد ومصروفات بدر'!$T$8:$T$5007),0))</f>
        <v/>
      </c>
      <c r="R21" s="24">
        <f>IF($A21="","",N(P21)-N(Q21))</f>
        <v/>
      </c>
      <c r="S21" s="22" t="n">
        <v>0</v>
      </c>
      <c r="T21" s="23">
        <f>IF($A21="","",IFERROR(SUMPRODUCT(('[1]عهد ومصروفات بدر'!$H$8:$H$5007=$A21)*('[1]عهد ومصروفات بدر'!$S$8:$S$5007=6)*'[1]عهد ومصروفات بدر'!$T$8:$T$5007),0))</f>
        <v/>
      </c>
      <c r="U21" s="24">
        <f>IF($A21="","",N(S21)-N(T21))</f>
        <v/>
      </c>
      <c r="V21" s="22" t="n">
        <v>0</v>
      </c>
      <c r="W21" s="23">
        <f>IF($A21="","",IFERROR(SUMPRODUCT(('[1]عهد ومصروفات بدر'!$H$8:$H$5007=$A21)*('[1]عهد ومصروفات بدر'!$S$8:$S$5007=7)*'[1]عهد ومصروفات بدر'!$T$8:$T$5007),0))</f>
        <v/>
      </c>
      <c r="X21" s="24">
        <f>IF($A21="","",N(V21)-N(W21))</f>
        <v/>
      </c>
      <c r="Y21" s="22" t="n">
        <v>0</v>
      </c>
      <c r="Z21" s="23">
        <f>IF($A21="","",IFERROR(SUMPRODUCT(('[1]عهد ومصروفات بدر'!$H$8:$H$5007=$A21)*('[1]عهد ومصروفات بدر'!$S$8:$S$5007=8)*'[1]عهد ومصروفات بدر'!$T$8:$T$5007),0))</f>
        <v/>
      </c>
      <c r="AA21" s="24">
        <f>IF($A21="","",N(Y21)-N(Z21))</f>
        <v/>
      </c>
      <c r="AB21" s="22" t="n">
        <v>0</v>
      </c>
      <c r="AC21" s="23">
        <f>IF($A21="","",IFERROR(SUMPRODUCT(('[1]عهد ومصروفات بدر'!$H$8:$H$5007=$A21)*('[1]عهد ومصروفات بدر'!$S$8:$S$5007=9)*'[1]عهد ومصروفات بدر'!$T$8:$T$5007),0))</f>
        <v/>
      </c>
      <c r="AD21" s="24">
        <f>IF($A21="","",N(AB21)-N(AC21))</f>
        <v/>
      </c>
      <c r="AE21" s="22" t="n">
        <v>0</v>
      </c>
      <c r="AF21" s="23">
        <f>IF($A21="","",IFERROR(SUMPRODUCT(('[1]عهد ومصروفات بدر'!$H$8:$H$5007=$A21)*('[1]عهد ومصروفات بدر'!$S$8:$S$5007=10)*'[1]عهد ومصروفات بدر'!$T$8:$T$5007),0))</f>
        <v/>
      </c>
      <c r="AG21" s="24">
        <f>IF($A21="","",N(AE21)-N(AF21))</f>
        <v/>
      </c>
      <c r="AH21" s="22" t="n">
        <v>0</v>
      </c>
      <c r="AI21" s="23">
        <f>IF($A21="","",IFERROR(SUMPRODUCT(('[1]عهد ومصروفات بدر'!$H$8:$H$5007=$A21)*('[1]عهد ومصروفات بدر'!$S$8:$S$5007=11)*'[1]عهد ومصروفات بدر'!$T$8:$T$5007),0))</f>
        <v/>
      </c>
      <c r="AJ21" s="24">
        <f>IF($A21="","",N(AH21)-N(AI21))</f>
        <v/>
      </c>
      <c r="AK21" s="22" t="n">
        <v>0</v>
      </c>
      <c r="AL21" s="23">
        <f>IF($A21="","",IFERROR(SUMPRODUCT(('[1]عهد ومصروفات بدر'!$H$8:$H$5007=$A21)*('[1]عهد ومصروفات بدر'!$S$8:$S$5007=12)*'[1]عهد ومصروفات بدر'!$T$8:$T$5007),0))</f>
        <v/>
      </c>
      <c r="AM21" s="24">
        <f>IF($A21="","",N(AK21)-N(AL21))</f>
        <v/>
      </c>
      <c r="AN21" s="25">
        <f>IF(A21="","",N(D21)+N(G21)+N(J21)+N(M21)+N(P21)+N(S21)+N(V21)+N(Y21)+N(AB21)+N(AE21)+N(AH21)+N(AK21))</f>
        <v/>
      </c>
      <c r="AO21" s="25">
        <f>IF(A21="","",N(E21)+N(H21)+N(K21)+N(N21)+N(Q21)+N(T21)+N(W21)+N(Z21)+N(AC21)+N(AF21)+N(AI21)+N(AL21))</f>
        <v/>
      </c>
      <c r="AP21" s="26">
        <f>IF(A21="","",N(B21)-AO21)</f>
        <v/>
      </c>
      <c r="AQ21">
        <f>IF(A21="",0,(N(F21)&lt;0)+(N(I21)&lt;0)+(N(L21)&lt;0)+(N(O21)&lt;0)+(N(R21)&lt;0)+(N(U21)&lt;0)+(N(X21)&lt;0)+(N(AA21)&lt;0)+(N(AD21)&lt;0)+(N(AG21)&lt;0)+(N(AJ21)&lt;0)+(N(AM21)&lt;0))</f>
        <v/>
      </c>
      <c r="AR21">
        <f>IF(A21="",0,MAX(0,-N(F21))+MAX(0,-N(I21))+MAX(0,-N(L21))+MAX(0,-N(O21))+MAX(0,-N(R21))+MAX(0,-N(U21))+MAX(0,-N(X21))+MAX(0,-N(AA21))+MAX(0,-N(AD21))+MAX(0,-N(AG21))+MAX(0,-N(AJ21))+MAX(0,-N(AM21)))</f>
        <v/>
      </c>
      <c r="AS21">
        <f>IF(A21="",0,IF(OR(N(AP21)&lt;0,AQ21&gt;0),1,0))</f>
        <v/>
      </c>
      <c r="AT21">
        <f>AT20+AS21</f>
        <v/>
      </c>
      <c r="AU21">
        <f>IF(A21="",-1,N(AO21)+ROW()/10000000)</f>
        <v/>
      </c>
    </row>
    <row r="22">
      <c r="A22" s="19" t="inlineStr">
        <is>
          <t>مستهلكات ورش ومعامل</t>
        </is>
      </c>
      <c r="B22" s="20" t="n">
        <v>101200</v>
      </c>
      <c r="C22" s="21">
        <f>IF(A22="","",N(B22)/12)</f>
        <v/>
      </c>
      <c r="D22" s="22" t="n">
        <v>12650</v>
      </c>
      <c r="E22" s="23">
        <f>IF($A22="","",IFERROR(SUMPRODUCT(('[1]عهد ومصروفات بدر'!$H$8:$H$5007=$A22)*('[1]عهد ومصروفات بدر'!$S$8:$S$5007=1)*'[1]عهد ومصروفات بدر'!$T$8:$T$5007),0))</f>
        <v/>
      </c>
      <c r="F22" s="24">
        <f>IF($A22="","",N(D22)-N(E22))</f>
        <v/>
      </c>
      <c r="G22" s="22" t="n">
        <v>12650</v>
      </c>
      <c r="H22" s="23">
        <f>IF($A22="","",IFERROR(SUMPRODUCT(('[1]عهد ومصروفات بدر'!$H$8:$H$5007=$A22)*('[1]عهد ومصروفات بدر'!$S$8:$S$5007=2)*'[1]عهد ومصروفات بدر'!$T$8:$T$5007),0))</f>
        <v/>
      </c>
      <c r="I22" s="24">
        <f>IF($A22="","",N(G22)-N(H22))</f>
        <v/>
      </c>
      <c r="J22" s="22" t="n">
        <v>12650</v>
      </c>
      <c r="K22" s="23">
        <f>IF($A22="","",IFERROR(SUMPRODUCT(('[1]عهد ومصروفات بدر'!$H$8:$H$5007=$A22)*('[1]عهد ومصروفات بدر'!$S$8:$S$5007=3)*'[1]عهد ومصروفات بدر'!$T$8:$T$5007),0))</f>
        <v/>
      </c>
      <c r="L22" s="24">
        <f>IF($A22="","",N(J22)-N(K22))</f>
        <v/>
      </c>
      <c r="M22" s="22" t="n">
        <v>12650</v>
      </c>
      <c r="N22" s="23">
        <f>IF($A22="","",IFERROR(SUMPRODUCT(('[1]عهد ومصروفات بدر'!$H$8:$H$5007=$A22)*('[1]عهد ومصروفات بدر'!$S$8:$S$5007=4)*'[1]عهد ومصروفات بدر'!$T$8:$T$5007),0))</f>
        <v/>
      </c>
      <c r="O22" s="24">
        <f>IF($A22="","",N(M22)-N(N22))</f>
        <v/>
      </c>
      <c r="P22" s="22" t="n">
        <v>12650</v>
      </c>
      <c r="Q22" s="23">
        <f>IF($A22="","",IFERROR(SUMPRODUCT(('[1]عهد ومصروفات بدر'!$H$8:$H$5007=$A22)*('[1]عهد ومصروفات بدر'!$S$8:$S$5007=5)*'[1]عهد ومصروفات بدر'!$T$8:$T$5007),0))</f>
        <v/>
      </c>
      <c r="R22" s="24">
        <f>IF($A22="","",N(P22)-N(Q22))</f>
        <v/>
      </c>
      <c r="S22" s="22" t="n">
        <v>12650</v>
      </c>
      <c r="T22" s="23">
        <f>IF($A22="","",IFERROR(SUMPRODUCT(('[1]عهد ومصروفات بدر'!$H$8:$H$5007=$A22)*('[1]عهد ومصروفات بدر'!$S$8:$S$5007=6)*'[1]عهد ومصروفات بدر'!$T$8:$T$5007),0))</f>
        <v/>
      </c>
      <c r="U22" s="24">
        <f>IF($A22="","",N(S22)-N(T22))</f>
        <v/>
      </c>
      <c r="V22" s="22" t="n">
        <v>12650</v>
      </c>
      <c r="W22" s="23">
        <f>IF($A22="","",IFERROR(SUMPRODUCT(('[1]عهد ومصروفات بدر'!$H$8:$H$5007=$A22)*('[1]عهد ومصروفات بدر'!$S$8:$S$5007=7)*'[1]عهد ومصروفات بدر'!$T$8:$T$5007),0))</f>
        <v/>
      </c>
      <c r="X22" s="24">
        <f>IF($A22="","",N(V22)-N(W22))</f>
        <v/>
      </c>
      <c r="Y22" s="22" t="n">
        <v>12650</v>
      </c>
      <c r="Z22" s="23">
        <f>IF($A22="","",IFERROR(SUMPRODUCT(('[1]عهد ومصروفات بدر'!$H$8:$H$5007=$A22)*('[1]عهد ومصروفات بدر'!$S$8:$S$5007=8)*'[1]عهد ومصروفات بدر'!$T$8:$T$5007),0))</f>
        <v/>
      </c>
      <c r="AA22" s="24">
        <f>IF($A22="","",N(Y22)-N(Z22))</f>
        <v/>
      </c>
      <c r="AB22" s="22" t="n">
        <v>0</v>
      </c>
      <c r="AC22" s="23">
        <f>IF($A22="","",IFERROR(SUMPRODUCT(('[1]عهد ومصروفات بدر'!$H$8:$H$5007=$A22)*('[1]عهد ومصروفات بدر'!$S$8:$S$5007=9)*'[1]عهد ومصروفات بدر'!$T$8:$T$5007),0))</f>
        <v/>
      </c>
      <c r="AD22" s="24">
        <f>IF($A22="","",N(AB22)-N(AC22))</f>
        <v/>
      </c>
      <c r="AE22" s="22" t="n">
        <v>0</v>
      </c>
      <c r="AF22" s="23">
        <f>IF($A22="","",IFERROR(SUMPRODUCT(('[1]عهد ومصروفات بدر'!$H$8:$H$5007=$A22)*('[1]عهد ومصروفات بدر'!$S$8:$S$5007=10)*'[1]عهد ومصروفات بدر'!$T$8:$T$5007),0))</f>
        <v/>
      </c>
      <c r="AG22" s="24">
        <f>IF($A22="","",N(AE22)-N(AF22))</f>
        <v/>
      </c>
      <c r="AH22" s="22" t="n">
        <v>0</v>
      </c>
      <c r="AI22" s="23">
        <f>IF($A22="","",IFERROR(SUMPRODUCT(('[1]عهد ومصروفات بدر'!$H$8:$H$5007=$A22)*('[1]عهد ومصروفات بدر'!$S$8:$S$5007=11)*'[1]عهد ومصروفات بدر'!$T$8:$T$5007),0))</f>
        <v/>
      </c>
      <c r="AJ22" s="24">
        <f>IF($A22="","",N(AH22)-N(AI22))</f>
        <v/>
      </c>
      <c r="AK22" s="22" t="n">
        <v>0</v>
      </c>
      <c r="AL22" s="23">
        <f>IF($A22="","",IFERROR(SUMPRODUCT(('[1]عهد ومصروفات بدر'!$H$8:$H$5007=$A22)*('[1]عهد ومصروفات بدر'!$S$8:$S$5007=12)*'[1]عهد ومصروفات بدر'!$T$8:$T$5007),0))</f>
        <v/>
      </c>
      <c r="AM22" s="24">
        <f>IF($A22="","",N(AK22)-N(AL22))</f>
        <v/>
      </c>
      <c r="AN22" s="25">
        <f>IF(A22="","",N(D22)+N(G22)+N(J22)+N(M22)+N(P22)+N(S22)+N(V22)+N(Y22)+N(AB22)+N(AE22)+N(AH22)+N(AK22))</f>
        <v/>
      </c>
      <c r="AO22" s="25">
        <f>IF(A22="","",N(E22)+N(H22)+N(K22)+N(N22)+N(Q22)+N(T22)+N(W22)+N(Z22)+N(AC22)+N(AF22)+N(AI22)+N(AL22))</f>
        <v/>
      </c>
      <c r="AP22" s="26">
        <f>IF(A22="","",N(B22)-AO22)</f>
        <v/>
      </c>
      <c r="AQ22">
        <f>IF(A22="",0,(N(F22)&lt;0)+(N(I22)&lt;0)+(N(L22)&lt;0)+(N(O22)&lt;0)+(N(R22)&lt;0)+(N(U22)&lt;0)+(N(X22)&lt;0)+(N(AA22)&lt;0)+(N(AD22)&lt;0)+(N(AG22)&lt;0)+(N(AJ22)&lt;0)+(N(AM22)&lt;0))</f>
        <v/>
      </c>
      <c r="AR22">
        <f>IF(A22="",0,MAX(0,-N(F22))+MAX(0,-N(I22))+MAX(0,-N(L22))+MAX(0,-N(O22))+MAX(0,-N(R22))+MAX(0,-N(U22))+MAX(0,-N(X22))+MAX(0,-N(AA22))+MAX(0,-N(AD22))+MAX(0,-N(AG22))+MAX(0,-N(AJ22))+MAX(0,-N(AM22)))</f>
        <v/>
      </c>
      <c r="AS22">
        <f>IF(A22="",0,IF(OR(N(AP22)&lt;0,AQ22&gt;0),1,0))</f>
        <v/>
      </c>
      <c r="AT22">
        <f>AT21+AS22</f>
        <v/>
      </c>
      <c r="AU22">
        <f>IF(A22="",-1,N(AO22)+ROW()/10000000)</f>
        <v/>
      </c>
    </row>
    <row r="23">
      <c r="A23" s="19" t="inlineStr">
        <is>
          <t>مستهلكات وأدوات دراسية بالفصول</t>
        </is>
      </c>
      <c r="B23" s="20" t="n">
        <v>13200</v>
      </c>
      <c r="C23" s="21">
        <f>IF(A23="","",N(B23)/12)</f>
        <v/>
      </c>
      <c r="D23" s="22" t="n">
        <v>1650</v>
      </c>
      <c r="E23" s="23">
        <f>IF($A23="","",IFERROR(SUMPRODUCT(('[1]عهد ومصروفات بدر'!$H$8:$H$5007=$A23)*('[1]عهد ومصروفات بدر'!$S$8:$S$5007=1)*'[1]عهد ومصروفات بدر'!$T$8:$T$5007),0))</f>
        <v/>
      </c>
      <c r="F23" s="24">
        <f>IF($A23="","",N(D23)-N(E23))</f>
        <v/>
      </c>
      <c r="G23" s="22" t="n">
        <v>1650</v>
      </c>
      <c r="H23" s="23">
        <f>IF($A23="","",IFERROR(SUMPRODUCT(('[1]عهد ومصروفات بدر'!$H$8:$H$5007=$A23)*('[1]عهد ومصروفات بدر'!$S$8:$S$5007=2)*'[1]عهد ومصروفات بدر'!$T$8:$T$5007),0))</f>
        <v/>
      </c>
      <c r="I23" s="24">
        <f>IF($A23="","",N(G23)-N(H23))</f>
        <v/>
      </c>
      <c r="J23" s="22" t="n">
        <v>1650</v>
      </c>
      <c r="K23" s="23">
        <f>IF($A23="","",IFERROR(SUMPRODUCT(('[1]عهد ومصروفات بدر'!$H$8:$H$5007=$A23)*('[1]عهد ومصروفات بدر'!$S$8:$S$5007=3)*'[1]عهد ومصروفات بدر'!$T$8:$T$5007),0))</f>
        <v/>
      </c>
      <c r="L23" s="24">
        <f>IF($A23="","",N(J23)-N(K23))</f>
        <v/>
      </c>
      <c r="M23" s="22" t="n">
        <v>1650</v>
      </c>
      <c r="N23" s="23">
        <f>IF($A23="","",IFERROR(SUMPRODUCT(('[1]عهد ومصروفات بدر'!$H$8:$H$5007=$A23)*('[1]عهد ومصروفات بدر'!$S$8:$S$5007=4)*'[1]عهد ومصروفات بدر'!$T$8:$T$5007),0))</f>
        <v/>
      </c>
      <c r="O23" s="24">
        <f>IF($A23="","",N(M23)-N(N23))</f>
        <v/>
      </c>
      <c r="P23" s="22" t="n">
        <v>1650</v>
      </c>
      <c r="Q23" s="23">
        <f>IF($A23="","",IFERROR(SUMPRODUCT(('[1]عهد ومصروفات بدر'!$H$8:$H$5007=$A23)*('[1]عهد ومصروفات بدر'!$S$8:$S$5007=5)*'[1]عهد ومصروفات بدر'!$T$8:$T$5007),0))</f>
        <v/>
      </c>
      <c r="R23" s="24">
        <f>IF($A23="","",N(P23)-N(Q23))</f>
        <v/>
      </c>
      <c r="S23" s="22" t="n">
        <v>1650</v>
      </c>
      <c r="T23" s="23">
        <f>IF($A23="","",IFERROR(SUMPRODUCT(('[1]عهد ومصروفات بدر'!$H$8:$H$5007=$A23)*('[1]عهد ومصروفات بدر'!$S$8:$S$5007=6)*'[1]عهد ومصروفات بدر'!$T$8:$T$5007),0))</f>
        <v/>
      </c>
      <c r="U23" s="24">
        <f>IF($A23="","",N(S23)-N(T23))</f>
        <v/>
      </c>
      <c r="V23" s="22" t="n">
        <v>1650</v>
      </c>
      <c r="W23" s="23">
        <f>IF($A23="","",IFERROR(SUMPRODUCT(('[1]عهد ومصروفات بدر'!$H$8:$H$5007=$A23)*('[1]عهد ومصروفات بدر'!$S$8:$S$5007=7)*'[1]عهد ومصروفات بدر'!$T$8:$T$5007),0))</f>
        <v/>
      </c>
      <c r="X23" s="24">
        <f>IF($A23="","",N(V23)-N(W23))</f>
        <v/>
      </c>
      <c r="Y23" s="22" t="n">
        <v>1650</v>
      </c>
      <c r="Z23" s="23">
        <f>IF($A23="","",IFERROR(SUMPRODUCT(('[1]عهد ومصروفات بدر'!$H$8:$H$5007=$A23)*('[1]عهد ومصروفات بدر'!$S$8:$S$5007=8)*'[1]عهد ومصروفات بدر'!$T$8:$T$5007),0))</f>
        <v/>
      </c>
      <c r="AA23" s="24">
        <f>IF($A23="","",N(Y23)-N(Z23))</f>
        <v/>
      </c>
      <c r="AB23" s="22" t="n">
        <v>0</v>
      </c>
      <c r="AC23" s="23">
        <f>IF($A23="","",IFERROR(SUMPRODUCT(('[1]عهد ومصروفات بدر'!$H$8:$H$5007=$A23)*('[1]عهد ومصروفات بدر'!$S$8:$S$5007=9)*'[1]عهد ومصروفات بدر'!$T$8:$T$5007),0))</f>
        <v/>
      </c>
      <c r="AD23" s="24">
        <f>IF($A23="","",N(AB23)-N(AC23))</f>
        <v/>
      </c>
      <c r="AE23" s="22" t="n">
        <v>0</v>
      </c>
      <c r="AF23" s="23">
        <f>IF($A23="","",IFERROR(SUMPRODUCT(('[1]عهد ومصروفات بدر'!$H$8:$H$5007=$A23)*('[1]عهد ومصروفات بدر'!$S$8:$S$5007=10)*'[1]عهد ومصروفات بدر'!$T$8:$T$5007),0))</f>
        <v/>
      </c>
      <c r="AG23" s="24">
        <f>IF($A23="","",N(AE23)-N(AF23))</f>
        <v/>
      </c>
      <c r="AH23" s="22" t="n">
        <v>0</v>
      </c>
      <c r="AI23" s="23">
        <f>IF($A23="","",IFERROR(SUMPRODUCT(('[1]عهد ومصروفات بدر'!$H$8:$H$5007=$A23)*('[1]عهد ومصروفات بدر'!$S$8:$S$5007=11)*'[1]عهد ومصروفات بدر'!$T$8:$T$5007),0))</f>
        <v/>
      </c>
      <c r="AJ23" s="24">
        <f>IF($A23="","",N(AH23)-N(AI23))</f>
        <v/>
      </c>
      <c r="AK23" s="22" t="n">
        <v>0</v>
      </c>
      <c r="AL23" s="23">
        <f>IF($A23="","",IFERROR(SUMPRODUCT(('[1]عهد ومصروفات بدر'!$H$8:$H$5007=$A23)*('[1]عهد ومصروفات بدر'!$S$8:$S$5007=12)*'[1]عهد ومصروفات بدر'!$T$8:$T$5007),0))</f>
        <v/>
      </c>
      <c r="AM23" s="24">
        <f>IF($A23="","",N(AK23)-N(AL23))</f>
        <v/>
      </c>
      <c r="AN23" s="25">
        <f>IF(A23="","",N(D23)+N(G23)+N(J23)+N(M23)+N(P23)+N(S23)+N(V23)+N(Y23)+N(AB23)+N(AE23)+N(AH23)+N(AK23))</f>
        <v/>
      </c>
      <c r="AO23" s="25">
        <f>IF(A23="","",N(E23)+N(H23)+N(K23)+N(N23)+N(Q23)+N(T23)+N(W23)+N(Z23)+N(AC23)+N(AF23)+N(AI23)+N(AL23))</f>
        <v/>
      </c>
      <c r="AP23" s="26">
        <f>IF(A23="","",N(B23)-AO23)</f>
        <v/>
      </c>
      <c r="AQ23">
        <f>IF(A23="",0,(N(F23)&lt;0)+(N(I23)&lt;0)+(N(L23)&lt;0)+(N(O23)&lt;0)+(N(R23)&lt;0)+(N(U23)&lt;0)+(N(X23)&lt;0)+(N(AA23)&lt;0)+(N(AD23)&lt;0)+(N(AG23)&lt;0)+(N(AJ23)&lt;0)+(N(AM23)&lt;0))</f>
        <v/>
      </c>
      <c r="AR23">
        <f>IF(A23="",0,MAX(0,-N(F23))+MAX(0,-N(I23))+MAX(0,-N(L23))+MAX(0,-N(O23))+MAX(0,-N(R23))+MAX(0,-N(U23))+MAX(0,-N(X23))+MAX(0,-N(AA23))+MAX(0,-N(AD23))+MAX(0,-N(AG23))+MAX(0,-N(AJ23))+MAX(0,-N(AM23)))</f>
        <v/>
      </c>
      <c r="AS23">
        <f>IF(A23="",0,IF(OR(N(AP23)&lt;0,AQ23&gt;0),1,0))</f>
        <v/>
      </c>
      <c r="AT23">
        <f>AT22+AS23</f>
        <v/>
      </c>
      <c r="AU23">
        <f>IF(A23="",-1,N(AO23)+ROW()/10000000)</f>
        <v/>
      </c>
    </row>
    <row r="24">
      <c r="A24" s="19" t="inlineStr">
        <is>
          <t>تدريب الإداريين</t>
        </is>
      </c>
      <c r="B24" s="20" t="n">
        <v>44000</v>
      </c>
      <c r="C24" s="21">
        <f>IF(A24="","",N(B24)/12)</f>
        <v/>
      </c>
      <c r="D24" s="22" t="n">
        <v>0</v>
      </c>
      <c r="E24" s="23">
        <f>IF($A24="","",IFERROR(SUMPRODUCT(('[1]عهد ومصروفات بدر'!$H$8:$H$5007=$A24)*('[1]عهد ومصروفات بدر'!$S$8:$S$5007=1)*'[1]عهد ومصروفات بدر'!$T$8:$T$5007),0))</f>
        <v/>
      </c>
      <c r="F24" s="24">
        <f>IF($A24="","",N(D24)-N(E24))</f>
        <v/>
      </c>
      <c r="G24" s="22" t="n">
        <v>0</v>
      </c>
      <c r="H24" s="23">
        <f>IF($A24="","",IFERROR(SUMPRODUCT(('[1]عهد ومصروفات بدر'!$H$8:$H$5007=$A24)*('[1]عهد ومصروفات بدر'!$S$8:$S$5007=2)*'[1]عهد ومصروفات بدر'!$T$8:$T$5007),0))</f>
        <v/>
      </c>
      <c r="I24" s="24">
        <f>IF($A24="","",N(G24)-N(H24))</f>
        <v/>
      </c>
      <c r="J24" s="22" t="n">
        <v>0</v>
      </c>
      <c r="K24" s="23">
        <f>IF($A24="","",IFERROR(SUMPRODUCT(('[1]عهد ومصروفات بدر'!$H$8:$H$5007=$A24)*('[1]عهد ومصروفات بدر'!$S$8:$S$5007=3)*'[1]عهد ومصروفات بدر'!$T$8:$T$5007),0))</f>
        <v/>
      </c>
      <c r="L24" s="24">
        <f>IF($A24="","",N(J24)-N(K24))</f>
        <v/>
      </c>
      <c r="M24" s="22" t="n">
        <v>0</v>
      </c>
      <c r="N24" s="23">
        <f>IF($A24="","",IFERROR(SUMPRODUCT(('[1]عهد ومصروفات بدر'!$H$8:$H$5007=$A24)*('[1]عهد ومصروفات بدر'!$S$8:$S$5007=4)*'[1]عهد ومصروفات بدر'!$T$8:$T$5007),0))</f>
        <v/>
      </c>
      <c r="O24" s="24">
        <f>IF($A24="","",N(M24)-N(N24))</f>
        <v/>
      </c>
      <c r="P24" s="22" t="n">
        <v>0</v>
      </c>
      <c r="Q24" s="23">
        <f>IF($A24="","",IFERROR(SUMPRODUCT(('[1]عهد ومصروفات بدر'!$H$8:$H$5007=$A24)*('[1]عهد ومصروفات بدر'!$S$8:$S$5007=5)*'[1]عهد ومصروفات بدر'!$T$8:$T$5007),0))</f>
        <v/>
      </c>
      <c r="R24" s="24">
        <f>IF($A24="","",N(P24)-N(Q24))</f>
        <v/>
      </c>
      <c r="S24" s="22" t="n">
        <v>0</v>
      </c>
      <c r="T24" s="23">
        <f>IF($A24="","",IFERROR(SUMPRODUCT(('[1]عهد ومصروفات بدر'!$H$8:$H$5007=$A24)*('[1]عهد ومصروفات بدر'!$S$8:$S$5007=6)*'[1]عهد ومصروفات بدر'!$T$8:$T$5007),0))</f>
        <v/>
      </c>
      <c r="U24" s="24">
        <f>IF($A24="","",N(S24)-N(T24))</f>
        <v/>
      </c>
      <c r="V24" s="22" t="n">
        <v>0</v>
      </c>
      <c r="W24" s="23">
        <f>IF($A24="","",IFERROR(SUMPRODUCT(('[1]عهد ومصروفات بدر'!$H$8:$H$5007=$A24)*('[1]عهد ومصروفات بدر'!$S$8:$S$5007=7)*'[1]عهد ومصروفات بدر'!$T$8:$T$5007),0))</f>
        <v/>
      </c>
      <c r="X24" s="24">
        <f>IF($A24="","",N(V24)-N(W24))</f>
        <v/>
      </c>
      <c r="Y24" s="22" t="n">
        <v>0</v>
      </c>
      <c r="Z24" s="23">
        <f>IF($A24="","",IFERROR(SUMPRODUCT(('[1]عهد ومصروفات بدر'!$H$8:$H$5007=$A24)*('[1]عهد ومصروفات بدر'!$S$8:$S$5007=8)*'[1]عهد ومصروفات بدر'!$T$8:$T$5007),0))</f>
        <v/>
      </c>
      <c r="AA24" s="24">
        <f>IF($A24="","",N(Y24)-N(Z24))</f>
        <v/>
      </c>
      <c r="AB24" s="22" t="n">
        <v>0</v>
      </c>
      <c r="AC24" s="23">
        <f>IF($A24="","",IFERROR(SUMPRODUCT(('[1]عهد ومصروفات بدر'!$H$8:$H$5007=$A24)*('[1]عهد ومصروفات بدر'!$S$8:$S$5007=9)*'[1]عهد ومصروفات بدر'!$T$8:$T$5007),0))</f>
        <v/>
      </c>
      <c r="AD24" s="24">
        <f>IF($A24="","",N(AB24)-N(AC24))</f>
        <v/>
      </c>
      <c r="AE24" s="22" t="n">
        <v>0</v>
      </c>
      <c r="AF24" s="23">
        <f>IF($A24="","",IFERROR(SUMPRODUCT(('[1]عهد ومصروفات بدر'!$H$8:$H$5007=$A24)*('[1]عهد ومصروفات بدر'!$S$8:$S$5007=10)*'[1]عهد ومصروفات بدر'!$T$8:$T$5007),0))</f>
        <v/>
      </c>
      <c r="AG24" s="24">
        <f>IF($A24="","",N(AE24)-N(AF24))</f>
        <v/>
      </c>
      <c r="AH24" s="22" t="n">
        <v>44000</v>
      </c>
      <c r="AI24" s="23">
        <f>IF($A24="","",IFERROR(SUMPRODUCT(('[1]عهد ومصروفات بدر'!$H$8:$H$5007=$A24)*('[1]عهد ومصروفات بدر'!$S$8:$S$5007=11)*'[1]عهد ومصروفات بدر'!$T$8:$T$5007),0))</f>
        <v/>
      </c>
      <c r="AJ24" s="24">
        <f>IF($A24="","",N(AH24)-N(AI24))</f>
        <v/>
      </c>
      <c r="AK24" s="22" t="n">
        <v>0</v>
      </c>
      <c r="AL24" s="23">
        <f>IF($A24="","",IFERROR(SUMPRODUCT(('[1]عهد ومصروفات بدر'!$H$8:$H$5007=$A24)*('[1]عهد ومصروفات بدر'!$S$8:$S$5007=12)*'[1]عهد ومصروفات بدر'!$T$8:$T$5007),0))</f>
        <v/>
      </c>
      <c r="AM24" s="24">
        <f>IF($A24="","",N(AK24)-N(AL24))</f>
        <v/>
      </c>
      <c r="AN24" s="25">
        <f>IF(A24="","",N(D24)+N(G24)+N(J24)+N(M24)+N(P24)+N(S24)+N(V24)+N(Y24)+N(AB24)+N(AE24)+N(AH24)+N(AK24))</f>
        <v/>
      </c>
      <c r="AO24" s="25">
        <f>IF(A24="","",N(E24)+N(H24)+N(K24)+N(N24)+N(Q24)+N(T24)+N(W24)+N(Z24)+N(AC24)+N(AF24)+N(AI24)+N(AL24))</f>
        <v/>
      </c>
      <c r="AP24" s="26">
        <f>IF(A24="","",N(B24)-AO24)</f>
        <v/>
      </c>
      <c r="AQ24">
        <f>IF(A24="",0,(N(F24)&lt;0)+(N(I24)&lt;0)+(N(L24)&lt;0)+(N(O24)&lt;0)+(N(R24)&lt;0)+(N(U24)&lt;0)+(N(X24)&lt;0)+(N(AA24)&lt;0)+(N(AD24)&lt;0)+(N(AG24)&lt;0)+(N(AJ24)&lt;0)+(N(AM24)&lt;0))</f>
        <v/>
      </c>
      <c r="AR24">
        <f>IF(A24="",0,MAX(0,-N(F24))+MAX(0,-N(I24))+MAX(0,-N(L24))+MAX(0,-N(O24))+MAX(0,-N(R24))+MAX(0,-N(U24))+MAX(0,-N(X24))+MAX(0,-N(AA24))+MAX(0,-N(AD24))+MAX(0,-N(AG24))+MAX(0,-N(AJ24))+MAX(0,-N(AM24)))</f>
        <v/>
      </c>
      <c r="AS24">
        <f>IF(A24="",0,IF(OR(N(AP24)&lt;0,AQ24&gt;0),1,0))</f>
        <v/>
      </c>
      <c r="AT24">
        <f>AT23+AS24</f>
        <v/>
      </c>
      <c r="AU24">
        <f>IF(A24="",-1,N(AO24)+ROW()/10000000)</f>
        <v/>
      </c>
    </row>
    <row r="25">
      <c r="A25" s="19" t="inlineStr">
        <is>
          <t>عقد شركة النظافة</t>
        </is>
      </c>
      <c r="B25" s="20" t="n">
        <v>369600</v>
      </c>
      <c r="C25" s="21">
        <f>IF(A25="","",N(B25)/12)</f>
        <v/>
      </c>
      <c r="D25" s="22" t="n">
        <v>28400</v>
      </c>
      <c r="E25" s="23">
        <f>IF($A25="","",IFERROR(SUMPRODUCT(('[1]عهد ومصروفات بدر'!$H$8:$H$5007=$A25)*('[1]عهد ومصروفات بدر'!$S$8:$S$5007=1)*'[1]عهد ومصروفات بدر'!$T$8:$T$5007),0))</f>
        <v/>
      </c>
      <c r="F25" s="24">
        <f>IF($A25="","",N(D25)-N(E25))</f>
        <v/>
      </c>
      <c r="G25" s="22" t="n">
        <v>28400</v>
      </c>
      <c r="H25" s="23">
        <f>IF($A25="","",IFERROR(SUMPRODUCT(('[1]عهد ومصروفات بدر'!$H$8:$H$5007=$A25)*('[1]عهد ومصروفات بدر'!$S$8:$S$5007=2)*'[1]عهد ومصروفات بدر'!$T$8:$T$5007),0))</f>
        <v/>
      </c>
      <c r="I25" s="24">
        <f>IF($A25="","",N(G25)-N(H25))</f>
        <v/>
      </c>
      <c r="J25" s="22" t="n">
        <v>28400</v>
      </c>
      <c r="K25" s="23">
        <f>IF($A25="","",IFERROR(SUMPRODUCT(('[1]عهد ومصروفات بدر'!$H$8:$H$5007=$A25)*('[1]عهد ومصروفات بدر'!$S$8:$S$5007=3)*'[1]عهد ومصروفات بدر'!$T$8:$T$5007),0))</f>
        <v/>
      </c>
      <c r="L25" s="24">
        <f>IF($A25="","",N(J25)-N(K25))</f>
        <v/>
      </c>
      <c r="M25" s="22" t="n">
        <v>28400</v>
      </c>
      <c r="N25" s="23">
        <f>IF($A25="","",IFERROR(SUMPRODUCT(('[1]عهد ومصروفات بدر'!$H$8:$H$5007=$A25)*('[1]عهد ومصروفات بدر'!$S$8:$S$5007=4)*'[1]عهد ومصروفات بدر'!$T$8:$T$5007),0))</f>
        <v/>
      </c>
      <c r="O25" s="24">
        <f>IF($A25="","",N(M25)-N(N25))</f>
        <v/>
      </c>
      <c r="P25" s="22" t="n">
        <v>28400</v>
      </c>
      <c r="Q25" s="23">
        <f>IF($A25="","",IFERROR(SUMPRODUCT(('[1]عهد ومصروفات بدر'!$H$8:$H$5007=$A25)*('[1]عهد ومصروفات بدر'!$S$8:$S$5007=5)*'[1]عهد ومصروفات بدر'!$T$8:$T$5007),0))</f>
        <v/>
      </c>
      <c r="R25" s="24">
        <f>IF($A25="","",N(P25)-N(Q25))</f>
        <v/>
      </c>
      <c r="S25" s="22" t="n">
        <v>28400</v>
      </c>
      <c r="T25" s="23">
        <f>IF($A25="","",IFERROR(SUMPRODUCT(('[1]عهد ومصروفات بدر'!$H$8:$H$5007=$A25)*('[1]عهد ومصروفات بدر'!$S$8:$S$5007=6)*'[1]عهد ومصروفات بدر'!$T$8:$T$5007),0))</f>
        <v/>
      </c>
      <c r="U25" s="24">
        <f>IF($A25="","",N(S25)-N(T25))</f>
        <v/>
      </c>
      <c r="V25" s="22" t="n">
        <v>28400</v>
      </c>
      <c r="W25" s="23">
        <f>IF($A25="","",IFERROR(SUMPRODUCT(('[1]عهد ومصروفات بدر'!$H$8:$H$5007=$A25)*('[1]عهد ومصروفات بدر'!$S$8:$S$5007=7)*'[1]عهد ومصروفات بدر'!$T$8:$T$5007),0))</f>
        <v/>
      </c>
      <c r="X25" s="24">
        <f>IF($A25="","",N(V25)-N(W25))</f>
        <v/>
      </c>
      <c r="Y25" s="22" t="n">
        <v>28400</v>
      </c>
      <c r="Z25" s="23">
        <f>IF($A25="","",IFERROR(SUMPRODUCT(('[1]عهد ومصروفات بدر'!$H$8:$H$5007=$A25)*('[1]عهد ومصروفات بدر'!$S$8:$S$5007=8)*'[1]عهد ومصروفات بدر'!$T$8:$T$5007),0))</f>
        <v/>
      </c>
      <c r="AA25" s="24">
        <f>IF($A25="","",N(Y25)-N(Z25))</f>
        <v/>
      </c>
      <c r="AB25" s="22" t="n">
        <v>28400</v>
      </c>
      <c r="AC25" s="23">
        <f>IF($A25="","",IFERROR(SUMPRODUCT(('[1]عهد ومصروفات بدر'!$H$8:$H$5007=$A25)*('[1]عهد ومصروفات بدر'!$S$8:$S$5007=9)*'[1]عهد ومصروفات بدر'!$T$8:$T$5007),0))</f>
        <v/>
      </c>
      <c r="AD25" s="24">
        <f>IF($A25="","",N(AB25)-N(AC25))</f>
        <v/>
      </c>
      <c r="AE25" s="22" t="n">
        <v>28400</v>
      </c>
      <c r="AF25" s="23">
        <f>IF($A25="","",IFERROR(SUMPRODUCT(('[1]عهد ومصروفات بدر'!$H$8:$H$5007=$A25)*('[1]عهد ومصروفات بدر'!$S$8:$S$5007=10)*'[1]عهد ومصروفات بدر'!$T$8:$T$5007),0))</f>
        <v/>
      </c>
      <c r="AG25" s="24">
        <f>IF($A25="","",N(AE25)-N(AF25))</f>
        <v/>
      </c>
      <c r="AH25" s="22" t="n">
        <v>28400</v>
      </c>
      <c r="AI25" s="23">
        <f>IF($A25="","",IFERROR(SUMPRODUCT(('[1]عهد ومصروفات بدر'!$H$8:$H$5007=$A25)*('[1]عهد ومصروفات بدر'!$S$8:$S$5007=11)*'[1]عهد ومصروفات بدر'!$T$8:$T$5007),0))</f>
        <v/>
      </c>
      <c r="AJ25" s="24">
        <f>IF($A25="","",N(AH25)-N(AI25))</f>
        <v/>
      </c>
      <c r="AK25" s="22" t="n">
        <v>28400</v>
      </c>
      <c r="AL25" s="23">
        <f>IF($A25="","",IFERROR(SUMPRODUCT(('[1]عهد ومصروفات بدر'!$H$8:$H$5007=$A25)*('[1]عهد ومصروفات بدر'!$S$8:$S$5007=12)*'[1]عهد ومصروفات بدر'!$T$8:$T$5007),0))</f>
        <v/>
      </c>
      <c r="AM25" s="24">
        <f>IF($A25="","",N(AK25)-N(AL25))</f>
        <v/>
      </c>
      <c r="AN25" s="25">
        <f>IF(A25="","",N(D25)+N(G25)+N(J25)+N(M25)+N(P25)+N(S25)+N(V25)+N(Y25)+N(AB25)+N(AE25)+N(AH25)+N(AK25))</f>
        <v/>
      </c>
      <c r="AO25" s="25">
        <f>IF(A25="","",N(E25)+N(H25)+N(K25)+N(N25)+N(Q25)+N(T25)+N(W25)+N(Z25)+N(AC25)+N(AF25)+N(AI25)+N(AL25))</f>
        <v/>
      </c>
      <c r="AP25" s="26">
        <f>IF(A25="","",N(B25)-AO25)</f>
        <v/>
      </c>
      <c r="AQ25">
        <f>IF(A25="",0,(N(F25)&lt;0)+(N(I25)&lt;0)+(N(L25)&lt;0)+(N(O25)&lt;0)+(N(R25)&lt;0)+(N(U25)&lt;0)+(N(X25)&lt;0)+(N(AA25)&lt;0)+(N(AD25)&lt;0)+(N(AG25)&lt;0)+(N(AJ25)&lt;0)+(N(AM25)&lt;0))</f>
        <v/>
      </c>
      <c r="AR25">
        <f>IF(A25="",0,MAX(0,-N(F25))+MAX(0,-N(I25))+MAX(0,-N(L25))+MAX(0,-N(O25))+MAX(0,-N(R25))+MAX(0,-N(U25))+MAX(0,-N(X25))+MAX(0,-N(AA25))+MAX(0,-N(AD25))+MAX(0,-N(AG25))+MAX(0,-N(AJ25))+MAX(0,-N(AM25)))</f>
        <v/>
      </c>
      <c r="AS25">
        <f>IF(A25="",0,IF(OR(N(AP25)&lt;0,AQ25&gt;0),1,0))</f>
        <v/>
      </c>
      <c r="AT25">
        <f>AT24+AS25</f>
        <v/>
      </c>
      <c r="AU25">
        <f>IF(A25="",-1,N(AO25)+ROW()/10000000)</f>
        <v/>
      </c>
    </row>
    <row r="26">
      <c r="A26" s="19" t="inlineStr">
        <is>
          <t>عقد شركة الأمن</t>
        </is>
      </c>
      <c r="B26" s="20" t="n">
        <v>369600</v>
      </c>
      <c r="C26" s="21">
        <f>IF(A26="","",N(B26)/12)</f>
        <v/>
      </c>
      <c r="D26" s="22" t="n">
        <v>30800</v>
      </c>
      <c r="E26" s="23">
        <f>IF($A26="","",IFERROR(SUMPRODUCT(('[1]عهد ومصروفات بدر'!$H$8:$H$5007=$A26)*('[1]عهد ومصروفات بدر'!$S$8:$S$5007=1)*'[1]عهد ومصروفات بدر'!$T$8:$T$5007),0))</f>
        <v/>
      </c>
      <c r="F26" s="24">
        <f>IF($A26="","",N(D26)-N(E26))</f>
        <v/>
      </c>
      <c r="G26" s="22" t="n">
        <v>30800</v>
      </c>
      <c r="H26" s="23">
        <f>IF($A26="","",IFERROR(SUMPRODUCT(('[1]عهد ومصروفات بدر'!$H$8:$H$5007=$A26)*('[1]عهد ومصروفات بدر'!$S$8:$S$5007=2)*'[1]عهد ومصروفات بدر'!$T$8:$T$5007),0))</f>
        <v/>
      </c>
      <c r="I26" s="24">
        <f>IF($A26="","",N(G26)-N(H26))</f>
        <v/>
      </c>
      <c r="J26" s="22" t="n">
        <v>30800</v>
      </c>
      <c r="K26" s="23">
        <f>IF($A26="","",IFERROR(SUMPRODUCT(('[1]عهد ومصروفات بدر'!$H$8:$H$5007=$A26)*('[1]عهد ومصروفات بدر'!$S$8:$S$5007=3)*'[1]عهد ومصروفات بدر'!$T$8:$T$5007),0))</f>
        <v/>
      </c>
      <c r="L26" s="24">
        <f>IF($A26="","",N(J26)-N(K26))</f>
        <v/>
      </c>
      <c r="M26" s="22" t="n">
        <v>27200</v>
      </c>
      <c r="N26" s="23">
        <f>IF($A26="","",IFERROR(SUMPRODUCT(('[1]عهد ومصروفات بدر'!$H$8:$H$5007=$A26)*('[1]عهد ومصروفات بدر'!$S$8:$S$5007=4)*'[1]عهد ومصروفات بدر'!$T$8:$T$5007),0))</f>
        <v/>
      </c>
      <c r="O26" s="24">
        <f>IF($A26="","",N(M26)-N(N26))</f>
        <v/>
      </c>
      <c r="P26" s="22" t="n">
        <v>27200</v>
      </c>
      <c r="Q26" s="23">
        <f>IF($A26="","",IFERROR(SUMPRODUCT(('[1]عهد ومصروفات بدر'!$H$8:$H$5007=$A26)*('[1]عهد ومصروفات بدر'!$S$8:$S$5007=5)*'[1]عهد ومصروفات بدر'!$T$8:$T$5007),0))</f>
        <v/>
      </c>
      <c r="R26" s="24">
        <f>IF($A26="","",N(P26)-N(Q26))</f>
        <v/>
      </c>
      <c r="S26" s="22" t="n">
        <v>27200</v>
      </c>
      <c r="T26" s="23">
        <f>IF($A26="","",IFERROR(SUMPRODUCT(('[1]عهد ومصروفات بدر'!$H$8:$H$5007=$A26)*('[1]عهد ومصروفات بدر'!$S$8:$S$5007=6)*'[1]عهد ومصروفات بدر'!$T$8:$T$5007),0))</f>
        <v/>
      </c>
      <c r="U26" s="24">
        <f>IF($A26="","",N(S26)-N(T26))</f>
        <v/>
      </c>
      <c r="V26" s="22" t="n">
        <v>27200</v>
      </c>
      <c r="W26" s="23">
        <f>IF($A26="","",IFERROR(SUMPRODUCT(('[1]عهد ومصروفات بدر'!$H$8:$H$5007=$A26)*('[1]عهد ومصروفات بدر'!$S$8:$S$5007=7)*'[1]عهد ومصروفات بدر'!$T$8:$T$5007),0))</f>
        <v/>
      </c>
      <c r="X26" s="24">
        <f>IF($A26="","",N(V26)-N(W26))</f>
        <v/>
      </c>
      <c r="Y26" s="22" t="n">
        <v>27200</v>
      </c>
      <c r="Z26" s="23">
        <f>IF($A26="","",IFERROR(SUMPRODUCT(('[1]عهد ومصروفات بدر'!$H$8:$H$5007=$A26)*('[1]عهد ومصروفات بدر'!$S$8:$S$5007=8)*'[1]عهد ومصروفات بدر'!$T$8:$T$5007),0))</f>
        <v/>
      </c>
      <c r="AA26" s="24">
        <f>IF($A26="","",N(Y26)-N(Z26))</f>
        <v/>
      </c>
      <c r="AB26" s="22" t="n">
        <v>27200</v>
      </c>
      <c r="AC26" s="23">
        <f>IF($A26="","",IFERROR(SUMPRODUCT(('[1]عهد ومصروفات بدر'!$H$8:$H$5007=$A26)*('[1]عهد ومصروفات بدر'!$S$8:$S$5007=9)*'[1]عهد ومصروفات بدر'!$T$8:$T$5007),0))</f>
        <v/>
      </c>
      <c r="AD26" s="24">
        <f>IF($A26="","",N(AB26)-N(AC26))</f>
        <v/>
      </c>
      <c r="AE26" s="22" t="n">
        <v>27200</v>
      </c>
      <c r="AF26" s="23">
        <f>IF($A26="","",IFERROR(SUMPRODUCT(('[1]عهد ومصروفات بدر'!$H$8:$H$5007=$A26)*('[1]عهد ومصروفات بدر'!$S$8:$S$5007=10)*'[1]عهد ومصروفات بدر'!$T$8:$T$5007),0))</f>
        <v/>
      </c>
      <c r="AG26" s="24">
        <f>IF($A26="","",N(AE26)-N(AF26))</f>
        <v/>
      </c>
      <c r="AH26" s="22" t="n">
        <v>27200</v>
      </c>
      <c r="AI26" s="23">
        <f>IF($A26="","",IFERROR(SUMPRODUCT(('[1]عهد ومصروفات بدر'!$H$8:$H$5007=$A26)*('[1]عهد ومصروفات بدر'!$S$8:$S$5007=11)*'[1]عهد ومصروفات بدر'!$T$8:$T$5007),0))</f>
        <v/>
      </c>
      <c r="AJ26" s="24">
        <f>IF($A26="","",N(AH26)-N(AI26))</f>
        <v/>
      </c>
      <c r="AK26" s="22" t="n">
        <v>27200</v>
      </c>
      <c r="AL26" s="23">
        <f>IF($A26="","",IFERROR(SUMPRODUCT(('[1]عهد ومصروفات بدر'!$H$8:$H$5007=$A26)*('[1]عهد ومصروفات بدر'!$S$8:$S$5007=12)*'[1]عهد ومصروفات بدر'!$T$8:$T$5007),0))</f>
        <v/>
      </c>
      <c r="AM26" s="24">
        <f>IF($A26="","",N(AK26)-N(AL26))</f>
        <v/>
      </c>
      <c r="AN26" s="25">
        <f>IF(A26="","",N(D26)+N(G26)+N(J26)+N(M26)+N(P26)+N(S26)+N(V26)+N(Y26)+N(AB26)+N(AE26)+N(AH26)+N(AK26))</f>
        <v/>
      </c>
      <c r="AO26" s="25">
        <f>IF(A26="","",N(E26)+N(H26)+N(K26)+N(N26)+N(Q26)+N(T26)+N(W26)+N(Z26)+N(AC26)+N(AF26)+N(AI26)+N(AL26))</f>
        <v/>
      </c>
      <c r="AP26" s="26">
        <f>IF(A26="","",N(B26)-AO26)</f>
        <v/>
      </c>
      <c r="AQ26">
        <f>IF(A26="",0,(N(F26)&lt;0)+(N(I26)&lt;0)+(N(L26)&lt;0)+(N(O26)&lt;0)+(N(R26)&lt;0)+(N(U26)&lt;0)+(N(X26)&lt;0)+(N(AA26)&lt;0)+(N(AD26)&lt;0)+(N(AG26)&lt;0)+(N(AJ26)&lt;0)+(N(AM26)&lt;0))</f>
        <v/>
      </c>
      <c r="AR26">
        <f>IF(A26="",0,MAX(0,-N(F26))+MAX(0,-N(I26))+MAX(0,-N(L26))+MAX(0,-N(O26))+MAX(0,-N(R26))+MAX(0,-N(U26))+MAX(0,-N(X26))+MAX(0,-N(AA26))+MAX(0,-N(AD26))+MAX(0,-N(AG26))+MAX(0,-N(AJ26))+MAX(0,-N(AM26)))</f>
        <v/>
      </c>
      <c r="AS26">
        <f>IF(A26="",0,IF(OR(N(AP26)&lt;0,AQ26&gt;0),1,0))</f>
        <v/>
      </c>
      <c r="AT26">
        <f>AT25+AS26</f>
        <v/>
      </c>
      <c r="AU26">
        <f>IF(A26="",-1,N(AO26)+ROW()/10000000)</f>
        <v/>
      </c>
    </row>
    <row r="27">
      <c r="A27" s="19" t="inlineStr">
        <is>
          <t>أدوات مكتبية ومستهلكات وضيافة</t>
        </is>
      </c>
      <c r="B27" s="20" t="n">
        <v>42000</v>
      </c>
      <c r="C27" s="21">
        <f>IF(A27="","",N(B27)/12)</f>
        <v/>
      </c>
      <c r="D27" s="22" t="n">
        <v>3500</v>
      </c>
      <c r="E27" s="23">
        <f>IF($A27="","",IFERROR(SUMPRODUCT(('[1]عهد ومصروفات بدر'!$H$8:$H$5007=$A27)*('[1]عهد ومصروفات بدر'!$S$8:$S$5007=1)*'[1]عهد ومصروفات بدر'!$T$8:$T$5007),0))</f>
        <v/>
      </c>
      <c r="F27" s="24">
        <f>IF($A27="","",N(D27)-N(E27))</f>
        <v/>
      </c>
      <c r="G27" s="22" t="n">
        <v>3500</v>
      </c>
      <c r="H27" s="23">
        <f>IF($A27="","",IFERROR(SUMPRODUCT(('[1]عهد ومصروفات بدر'!$H$8:$H$5007=$A27)*('[1]عهد ومصروفات بدر'!$S$8:$S$5007=2)*'[1]عهد ومصروفات بدر'!$T$8:$T$5007),0))</f>
        <v/>
      </c>
      <c r="I27" s="24">
        <f>IF($A27="","",N(G27)-N(H27))</f>
        <v/>
      </c>
      <c r="J27" s="22" t="n">
        <v>3500</v>
      </c>
      <c r="K27" s="23">
        <f>IF($A27="","",IFERROR(SUMPRODUCT(('[1]عهد ومصروفات بدر'!$H$8:$H$5007=$A27)*('[1]عهد ومصروفات بدر'!$S$8:$S$5007=3)*'[1]عهد ومصروفات بدر'!$T$8:$T$5007),0))</f>
        <v/>
      </c>
      <c r="L27" s="24">
        <f>IF($A27="","",N(J27)-N(K27))</f>
        <v/>
      </c>
      <c r="M27" s="22" t="n">
        <v>3500</v>
      </c>
      <c r="N27" s="23">
        <f>IF($A27="","",IFERROR(SUMPRODUCT(('[1]عهد ومصروفات بدر'!$H$8:$H$5007=$A27)*('[1]عهد ومصروفات بدر'!$S$8:$S$5007=4)*'[1]عهد ومصروفات بدر'!$T$8:$T$5007),0))</f>
        <v/>
      </c>
      <c r="O27" s="24">
        <f>IF($A27="","",N(M27)-N(N27))</f>
        <v/>
      </c>
      <c r="P27" s="22" t="n">
        <v>3500</v>
      </c>
      <c r="Q27" s="23">
        <f>IF($A27="","",IFERROR(SUMPRODUCT(('[1]عهد ومصروفات بدر'!$H$8:$H$5007=$A27)*('[1]عهد ومصروفات بدر'!$S$8:$S$5007=5)*'[1]عهد ومصروفات بدر'!$T$8:$T$5007),0))</f>
        <v/>
      </c>
      <c r="R27" s="24">
        <f>IF($A27="","",N(P27)-N(Q27))</f>
        <v/>
      </c>
      <c r="S27" s="22" t="n">
        <v>3500</v>
      </c>
      <c r="T27" s="23">
        <f>IF($A27="","",IFERROR(SUMPRODUCT(('[1]عهد ومصروفات بدر'!$H$8:$H$5007=$A27)*('[1]عهد ومصروفات بدر'!$S$8:$S$5007=6)*'[1]عهد ومصروفات بدر'!$T$8:$T$5007),0))</f>
        <v/>
      </c>
      <c r="U27" s="24">
        <f>IF($A27="","",N(S27)-N(T27))</f>
        <v/>
      </c>
      <c r="V27" s="22" t="n">
        <v>7000</v>
      </c>
      <c r="W27" s="23">
        <f>IF($A27="","",IFERROR(SUMPRODUCT(('[1]عهد ومصروفات بدر'!$H$8:$H$5007=$A27)*('[1]عهد ومصروفات بدر'!$S$8:$S$5007=7)*'[1]عهد ومصروفات بدر'!$T$8:$T$5007),0))</f>
        <v/>
      </c>
      <c r="X27" s="24">
        <f>IF($A27="","",N(V27)-N(W27))</f>
        <v/>
      </c>
      <c r="Y27" s="22" t="n">
        <v>7000</v>
      </c>
      <c r="Z27" s="23">
        <f>IF($A27="","",IFERROR(SUMPRODUCT(('[1]عهد ومصروفات بدر'!$H$8:$H$5007=$A27)*('[1]عهد ومصروفات بدر'!$S$8:$S$5007=8)*'[1]عهد ومصروفات بدر'!$T$8:$T$5007),0))</f>
        <v/>
      </c>
      <c r="AA27" s="24">
        <f>IF($A27="","",N(Y27)-N(Z27))</f>
        <v/>
      </c>
      <c r="AB27" s="22" t="n">
        <v>0</v>
      </c>
      <c r="AC27" s="23">
        <f>IF($A27="","",IFERROR(SUMPRODUCT(('[1]عهد ومصروفات بدر'!$H$8:$H$5007=$A27)*('[1]عهد ومصروفات بدر'!$S$8:$S$5007=9)*'[1]عهد ومصروفات بدر'!$T$8:$T$5007),0))</f>
        <v/>
      </c>
      <c r="AD27" s="24">
        <f>IF($A27="","",N(AB27)-N(AC27))</f>
        <v/>
      </c>
      <c r="AE27" s="22" t="n">
        <v>0</v>
      </c>
      <c r="AF27" s="23">
        <f>IF($A27="","",IFERROR(SUMPRODUCT(('[1]عهد ومصروفات بدر'!$H$8:$H$5007=$A27)*('[1]عهد ومصروفات بدر'!$S$8:$S$5007=10)*'[1]عهد ومصروفات بدر'!$T$8:$T$5007),0))</f>
        <v/>
      </c>
      <c r="AG27" s="24">
        <f>IF($A27="","",N(AE27)-N(AF27))</f>
        <v/>
      </c>
      <c r="AH27" s="22" t="n">
        <v>0</v>
      </c>
      <c r="AI27" s="23">
        <f>IF($A27="","",IFERROR(SUMPRODUCT(('[1]عهد ومصروفات بدر'!$H$8:$H$5007=$A27)*('[1]عهد ومصروفات بدر'!$S$8:$S$5007=11)*'[1]عهد ومصروفات بدر'!$T$8:$T$5007),0))</f>
        <v/>
      </c>
      <c r="AJ27" s="24">
        <f>IF($A27="","",N(AH27)-N(AI27))</f>
        <v/>
      </c>
      <c r="AK27" s="22" t="n">
        <v>0</v>
      </c>
      <c r="AL27" s="23">
        <f>IF($A27="","",IFERROR(SUMPRODUCT(('[1]عهد ومصروفات بدر'!$H$8:$H$5007=$A27)*('[1]عهد ومصروفات بدر'!$S$8:$S$5007=12)*'[1]عهد ومصروفات بدر'!$T$8:$T$5007),0))</f>
        <v/>
      </c>
      <c r="AM27" s="24">
        <f>IF($A27="","",N(AK27)-N(AL27))</f>
        <v/>
      </c>
      <c r="AN27" s="25">
        <f>IF(A27="","",N(D27)+N(G27)+N(J27)+N(M27)+N(P27)+N(S27)+N(V27)+N(Y27)+N(AB27)+N(AE27)+N(AH27)+N(AK27))</f>
        <v/>
      </c>
      <c r="AO27" s="25">
        <f>IF(A27="","",N(E27)+N(H27)+N(K27)+N(N27)+N(Q27)+N(T27)+N(W27)+N(Z27)+N(AC27)+N(AF27)+N(AI27)+N(AL27))</f>
        <v/>
      </c>
      <c r="AP27" s="26">
        <f>IF(A27="","",N(B27)-AO27)</f>
        <v/>
      </c>
      <c r="AQ27">
        <f>IF(A27="",0,(N(F27)&lt;0)+(N(I27)&lt;0)+(N(L27)&lt;0)+(N(O27)&lt;0)+(N(R27)&lt;0)+(N(U27)&lt;0)+(N(X27)&lt;0)+(N(AA27)&lt;0)+(N(AD27)&lt;0)+(N(AG27)&lt;0)+(N(AJ27)&lt;0)+(N(AM27)&lt;0))</f>
        <v/>
      </c>
      <c r="AR27">
        <f>IF(A27="",0,MAX(0,-N(F27))+MAX(0,-N(I27))+MAX(0,-N(L27))+MAX(0,-N(O27))+MAX(0,-N(R27))+MAX(0,-N(U27))+MAX(0,-N(X27))+MAX(0,-N(AA27))+MAX(0,-N(AD27))+MAX(0,-N(AG27))+MAX(0,-N(AJ27))+MAX(0,-N(AM27)))</f>
        <v/>
      </c>
      <c r="AS27">
        <f>IF(A27="",0,IF(OR(N(AP27)&lt;0,AQ27&gt;0),1,0))</f>
        <v/>
      </c>
      <c r="AT27">
        <f>AT26+AS27</f>
        <v/>
      </c>
      <c r="AU27">
        <f>IF(A27="",-1,N(AO27)+ROW()/10000000)</f>
        <v/>
      </c>
    </row>
    <row r="28">
      <c r="A28" s="19" t="inlineStr">
        <is>
          <t>صيانة واجهات وأسوار ومبانى</t>
        </is>
      </c>
      <c r="B28" s="20" t="n">
        <v>18000</v>
      </c>
      <c r="C28" s="21">
        <f>IF(A28="","",N(B28)/12)</f>
        <v/>
      </c>
      <c r="D28" s="22" t="n">
        <v>1500</v>
      </c>
      <c r="E28" s="23">
        <f>IF($A28="","",IFERROR(SUMPRODUCT(('[1]عهد ومصروفات بدر'!$H$8:$H$5007=$A28)*('[1]عهد ومصروفات بدر'!$S$8:$S$5007=1)*'[1]عهد ومصروفات بدر'!$T$8:$T$5007),0))</f>
        <v/>
      </c>
      <c r="F28" s="24">
        <f>IF($A28="","",N(D28)-N(E28))</f>
        <v/>
      </c>
      <c r="G28" s="22" t="n">
        <v>1500</v>
      </c>
      <c r="H28" s="23">
        <f>IF($A28="","",IFERROR(SUMPRODUCT(('[1]عهد ومصروفات بدر'!$H$8:$H$5007=$A28)*('[1]عهد ومصروفات بدر'!$S$8:$S$5007=2)*'[1]عهد ومصروفات بدر'!$T$8:$T$5007),0))</f>
        <v/>
      </c>
      <c r="I28" s="24">
        <f>IF($A28="","",N(G28)-N(H28))</f>
        <v/>
      </c>
      <c r="J28" s="22" t="n">
        <v>1500</v>
      </c>
      <c r="K28" s="23">
        <f>IF($A28="","",IFERROR(SUMPRODUCT(('[1]عهد ومصروفات بدر'!$H$8:$H$5007=$A28)*('[1]عهد ومصروفات بدر'!$S$8:$S$5007=3)*'[1]عهد ومصروفات بدر'!$T$8:$T$5007),0))</f>
        <v/>
      </c>
      <c r="L28" s="24">
        <f>IF($A28="","",N(J28)-N(K28))</f>
        <v/>
      </c>
      <c r="M28" s="22" t="n">
        <v>1500</v>
      </c>
      <c r="N28" s="23">
        <f>IF($A28="","",IFERROR(SUMPRODUCT(('[1]عهد ومصروفات بدر'!$H$8:$H$5007=$A28)*('[1]عهد ومصروفات بدر'!$S$8:$S$5007=4)*'[1]عهد ومصروفات بدر'!$T$8:$T$5007),0))</f>
        <v/>
      </c>
      <c r="O28" s="24">
        <f>IF($A28="","",N(M28)-N(N28))</f>
        <v/>
      </c>
      <c r="P28" s="22" t="n">
        <v>1500</v>
      </c>
      <c r="Q28" s="23">
        <f>IF($A28="","",IFERROR(SUMPRODUCT(('[1]عهد ومصروفات بدر'!$H$8:$H$5007=$A28)*('[1]عهد ومصروفات بدر'!$S$8:$S$5007=5)*'[1]عهد ومصروفات بدر'!$T$8:$T$5007),0))</f>
        <v/>
      </c>
      <c r="R28" s="24">
        <f>IF($A28="","",N(P28)-N(Q28))</f>
        <v/>
      </c>
      <c r="S28" s="22" t="n">
        <v>1500</v>
      </c>
      <c r="T28" s="23">
        <f>IF($A28="","",IFERROR(SUMPRODUCT(('[1]عهد ومصروفات بدر'!$H$8:$H$5007=$A28)*('[1]عهد ومصروفات بدر'!$S$8:$S$5007=6)*'[1]عهد ومصروفات بدر'!$T$8:$T$5007),0))</f>
        <v/>
      </c>
      <c r="U28" s="24">
        <f>IF($A28="","",N(S28)-N(T28))</f>
        <v/>
      </c>
      <c r="V28" s="22" t="n">
        <v>1500</v>
      </c>
      <c r="W28" s="23">
        <f>IF($A28="","",IFERROR(SUMPRODUCT(('[1]عهد ومصروفات بدر'!$H$8:$H$5007=$A28)*('[1]عهد ومصروفات بدر'!$S$8:$S$5007=7)*'[1]عهد ومصروفات بدر'!$T$8:$T$5007),0))</f>
        <v/>
      </c>
      <c r="X28" s="24">
        <f>IF($A28="","",N(V28)-N(W28))</f>
        <v/>
      </c>
      <c r="Y28" s="22" t="n">
        <v>1500</v>
      </c>
      <c r="Z28" s="23">
        <f>IF($A28="","",IFERROR(SUMPRODUCT(('[1]عهد ومصروفات بدر'!$H$8:$H$5007=$A28)*('[1]عهد ومصروفات بدر'!$S$8:$S$5007=8)*'[1]عهد ومصروفات بدر'!$T$8:$T$5007),0))</f>
        <v/>
      </c>
      <c r="AA28" s="24">
        <f>IF($A28="","",N(Y28)-N(Z28))</f>
        <v/>
      </c>
      <c r="AB28" s="22" t="n">
        <v>1500</v>
      </c>
      <c r="AC28" s="23">
        <f>IF($A28="","",IFERROR(SUMPRODUCT(('[1]عهد ومصروفات بدر'!$H$8:$H$5007=$A28)*('[1]عهد ومصروفات بدر'!$S$8:$S$5007=9)*'[1]عهد ومصروفات بدر'!$T$8:$T$5007),0))</f>
        <v/>
      </c>
      <c r="AD28" s="24">
        <f>IF($A28="","",N(AB28)-N(AC28))</f>
        <v/>
      </c>
      <c r="AE28" s="22" t="n">
        <v>1500</v>
      </c>
      <c r="AF28" s="23">
        <f>IF($A28="","",IFERROR(SUMPRODUCT(('[1]عهد ومصروفات بدر'!$H$8:$H$5007=$A28)*('[1]عهد ومصروفات بدر'!$S$8:$S$5007=10)*'[1]عهد ومصروفات بدر'!$T$8:$T$5007),0))</f>
        <v/>
      </c>
      <c r="AG28" s="24">
        <f>IF($A28="","",N(AE28)-N(AF28))</f>
        <v/>
      </c>
      <c r="AH28" s="22" t="n">
        <v>1500</v>
      </c>
      <c r="AI28" s="23">
        <f>IF($A28="","",IFERROR(SUMPRODUCT(('[1]عهد ومصروفات بدر'!$H$8:$H$5007=$A28)*('[1]عهد ومصروفات بدر'!$S$8:$S$5007=11)*'[1]عهد ومصروفات بدر'!$T$8:$T$5007),0))</f>
        <v/>
      </c>
      <c r="AJ28" s="24">
        <f>IF($A28="","",N(AH28)-N(AI28))</f>
        <v/>
      </c>
      <c r="AK28" s="22" t="n">
        <v>1500</v>
      </c>
      <c r="AL28" s="23">
        <f>IF($A28="","",IFERROR(SUMPRODUCT(('[1]عهد ومصروفات بدر'!$H$8:$H$5007=$A28)*('[1]عهد ومصروفات بدر'!$S$8:$S$5007=12)*'[1]عهد ومصروفات بدر'!$T$8:$T$5007),0))</f>
        <v/>
      </c>
      <c r="AM28" s="24">
        <f>IF($A28="","",N(AK28)-N(AL28))</f>
        <v/>
      </c>
      <c r="AN28" s="25">
        <f>IF(A28="","",N(D28)+N(G28)+N(J28)+N(M28)+N(P28)+N(S28)+N(V28)+N(Y28)+N(AB28)+N(AE28)+N(AH28)+N(AK28))</f>
        <v/>
      </c>
      <c r="AO28" s="25">
        <f>IF(A28="","",N(E28)+N(H28)+N(K28)+N(N28)+N(Q28)+N(T28)+N(W28)+N(Z28)+N(AC28)+N(AF28)+N(AI28)+N(AL28))</f>
        <v/>
      </c>
      <c r="AP28" s="26">
        <f>IF(A28="","",N(B28)-AO28)</f>
        <v/>
      </c>
      <c r="AQ28">
        <f>IF(A28="",0,(N(F28)&lt;0)+(N(I28)&lt;0)+(N(L28)&lt;0)+(N(O28)&lt;0)+(N(R28)&lt;0)+(N(U28)&lt;0)+(N(X28)&lt;0)+(N(AA28)&lt;0)+(N(AD28)&lt;0)+(N(AG28)&lt;0)+(N(AJ28)&lt;0)+(N(AM28)&lt;0))</f>
        <v/>
      </c>
      <c r="AR28">
        <f>IF(A28="",0,MAX(0,-N(F28))+MAX(0,-N(I28))+MAX(0,-N(L28))+MAX(0,-N(O28))+MAX(0,-N(R28))+MAX(0,-N(U28))+MAX(0,-N(X28))+MAX(0,-N(AA28))+MAX(0,-N(AD28))+MAX(0,-N(AG28))+MAX(0,-N(AJ28))+MAX(0,-N(AM28)))</f>
        <v/>
      </c>
      <c r="AS28">
        <f>IF(A28="",0,IF(OR(N(AP28)&lt;0,AQ28&gt;0),1,0))</f>
        <v/>
      </c>
      <c r="AT28">
        <f>AT27+AS28</f>
        <v/>
      </c>
      <c r="AU28">
        <f>IF(A28="",-1,N(AO28)+ROW()/10000000)</f>
        <v/>
      </c>
    </row>
    <row r="29">
      <c r="A29" s="19" t="inlineStr">
        <is>
          <t>صيانة أجهزة ومعدات</t>
        </is>
      </c>
      <c r="B29" s="20" t="n">
        <v>18000</v>
      </c>
      <c r="C29" s="21">
        <f>IF(A29="","",N(B29)/12)</f>
        <v/>
      </c>
      <c r="D29" s="22" t="n">
        <v>1500</v>
      </c>
      <c r="E29" s="23">
        <f>IF($A29="","",IFERROR(SUMPRODUCT(('[1]عهد ومصروفات بدر'!$H$8:$H$5007=$A29)*('[1]عهد ومصروفات بدر'!$S$8:$S$5007=1)*'[1]عهد ومصروفات بدر'!$T$8:$T$5007),0))</f>
        <v/>
      </c>
      <c r="F29" s="24">
        <f>IF($A29="","",N(D29)-N(E29))</f>
        <v/>
      </c>
      <c r="G29" s="22" t="n">
        <v>1500</v>
      </c>
      <c r="H29" s="23">
        <f>IF($A29="","",IFERROR(SUMPRODUCT(('[1]عهد ومصروفات بدر'!$H$8:$H$5007=$A29)*('[1]عهد ومصروفات بدر'!$S$8:$S$5007=2)*'[1]عهد ومصروفات بدر'!$T$8:$T$5007),0))</f>
        <v/>
      </c>
      <c r="I29" s="24">
        <f>IF($A29="","",N(G29)-N(H29))</f>
        <v/>
      </c>
      <c r="J29" s="22" t="n">
        <v>1500</v>
      </c>
      <c r="K29" s="23">
        <f>IF($A29="","",IFERROR(SUMPRODUCT(('[1]عهد ومصروفات بدر'!$H$8:$H$5007=$A29)*('[1]عهد ومصروفات بدر'!$S$8:$S$5007=3)*'[1]عهد ومصروفات بدر'!$T$8:$T$5007),0))</f>
        <v/>
      </c>
      <c r="L29" s="24">
        <f>IF($A29="","",N(J29)-N(K29))</f>
        <v/>
      </c>
      <c r="M29" s="22" t="n">
        <v>1500</v>
      </c>
      <c r="N29" s="23">
        <f>IF($A29="","",IFERROR(SUMPRODUCT(('[1]عهد ومصروفات بدر'!$H$8:$H$5007=$A29)*('[1]عهد ومصروفات بدر'!$S$8:$S$5007=4)*'[1]عهد ومصروفات بدر'!$T$8:$T$5007),0))</f>
        <v/>
      </c>
      <c r="O29" s="24">
        <f>IF($A29="","",N(M29)-N(N29))</f>
        <v/>
      </c>
      <c r="P29" s="22" t="n">
        <v>1500</v>
      </c>
      <c r="Q29" s="23">
        <f>IF($A29="","",IFERROR(SUMPRODUCT(('[1]عهد ومصروفات بدر'!$H$8:$H$5007=$A29)*('[1]عهد ومصروفات بدر'!$S$8:$S$5007=5)*'[1]عهد ومصروفات بدر'!$T$8:$T$5007),0))</f>
        <v/>
      </c>
      <c r="R29" s="24">
        <f>IF($A29="","",N(P29)-N(Q29))</f>
        <v/>
      </c>
      <c r="S29" s="22" t="n">
        <v>1500</v>
      </c>
      <c r="T29" s="23">
        <f>IF($A29="","",IFERROR(SUMPRODUCT(('[1]عهد ومصروفات بدر'!$H$8:$H$5007=$A29)*('[1]عهد ومصروفات بدر'!$S$8:$S$5007=6)*'[1]عهد ومصروفات بدر'!$T$8:$T$5007),0))</f>
        <v/>
      </c>
      <c r="U29" s="24">
        <f>IF($A29="","",N(S29)-N(T29))</f>
        <v/>
      </c>
      <c r="V29" s="22" t="n">
        <v>1500</v>
      </c>
      <c r="W29" s="23">
        <f>IF($A29="","",IFERROR(SUMPRODUCT(('[1]عهد ومصروفات بدر'!$H$8:$H$5007=$A29)*('[1]عهد ومصروفات بدر'!$S$8:$S$5007=7)*'[1]عهد ومصروفات بدر'!$T$8:$T$5007),0))</f>
        <v/>
      </c>
      <c r="X29" s="24">
        <f>IF($A29="","",N(V29)-N(W29))</f>
        <v/>
      </c>
      <c r="Y29" s="22" t="n">
        <v>1500</v>
      </c>
      <c r="Z29" s="23">
        <f>IF($A29="","",IFERROR(SUMPRODUCT(('[1]عهد ومصروفات بدر'!$H$8:$H$5007=$A29)*('[1]عهد ومصروفات بدر'!$S$8:$S$5007=8)*'[1]عهد ومصروفات بدر'!$T$8:$T$5007),0))</f>
        <v/>
      </c>
      <c r="AA29" s="24">
        <f>IF($A29="","",N(Y29)-N(Z29))</f>
        <v/>
      </c>
      <c r="AB29" s="22" t="n">
        <v>1500</v>
      </c>
      <c r="AC29" s="23">
        <f>IF($A29="","",IFERROR(SUMPRODUCT(('[1]عهد ومصروفات بدر'!$H$8:$H$5007=$A29)*('[1]عهد ومصروفات بدر'!$S$8:$S$5007=9)*'[1]عهد ومصروفات بدر'!$T$8:$T$5007),0))</f>
        <v/>
      </c>
      <c r="AD29" s="24">
        <f>IF($A29="","",N(AB29)-N(AC29))</f>
        <v/>
      </c>
      <c r="AE29" s="22" t="n">
        <v>1500</v>
      </c>
      <c r="AF29" s="23">
        <f>IF($A29="","",IFERROR(SUMPRODUCT(('[1]عهد ومصروفات بدر'!$H$8:$H$5007=$A29)*('[1]عهد ومصروفات بدر'!$S$8:$S$5007=10)*'[1]عهد ومصروفات بدر'!$T$8:$T$5007),0))</f>
        <v/>
      </c>
      <c r="AG29" s="24">
        <f>IF($A29="","",N(AE29)-N(AF29))</f>
        <v/>
      </c>
      <c r="AH29" s="22" t="n">
        <v>1500</v>
      </c>
      <c r="AI29" s="23">
        <f>IF($A29="","",IFERROR(SUMPRODUCT(('[1]عهد ومصروفات بدر'!$H$8:$H$5007=$A29)*('[1]عهد ومصروفات بدر'!$S$8:$S$5007=11)*'[1]عهد ومصروفات بدر'!$T$8:$T$5007),0))</f>
        <v/>
      </c>
      <c r="AJ29" s="24">
        <f>IF($A29="","",N(AH29)-N(AI29))</f>
        <v/>
      </c>
      <c r="AK29" s="22" t="n">
        <v>1500</v>
      </c>
      <c r="AL29" s="23">
        <f>IF($A29="","",IFERROR(SUMPRODUCT(('[1]عهد ومصروفات بدر'!$H$8:$H$5007=$A29)*('[1]عهد ومصروفات بدر'!$S$8:$S$5007=12)*'[1]عهد ومصروفات بدر'!$T$8:$T$5007),0))</f>
        <v/>
      </c>
      <c r="AM29" s="24">
        <f>IF($A29="","",N(AK29)-N(AL29))</f>
        <v/>
      </c>
      <c r="AN29" s="25">
        <f>IF(A29="","",N(D29)+N(G29)+N(J29)+N(M29)+N(P29)+N(S29)+N(V29)+N(Y29)+N(AB29)+N(AE29)+N(AH29)+N(AK29))</f>
        <v/>
      </c>
      <c r="AO29" s="25">
        <f>IF(A29="","",N(E29)+N(H29)+N(K29)+N(N29)+N(Q29)+N(T29)+N(W29)+N(Z29)+N(AC29)+N(AF29)+N(AI29)+N(AL29))</f>
        <v/>
      </c>
      <c r="AP29" s="26">
        <f>IF(A29="","",N(B29)-AO29)</f>
        <v/>
      </c>
      <c r="AQ29">
        <f>IF(A29="",0,(N(F29)&lt;0)+(N(I29)&lt;0)+(N(L29)&lt;0)+(N(O29)&lt;0)+(N(R29)&lt;0)+(N(U29)&lt;0)+(N(X29)&lt;0)+(N(AA29)&lt;0)+(N(AD29)&lt;0)+(N(AG29)&lt;0)+(N(AJ29)&lt;0)+(N(AM29)&lt;0))</f>
        <v/>
      </c>
      <c r="AR29">
        <f>IF(A29="",0,MAX(0,-N(F29))+MAX(0,-N(I29))+MAX(0,-N(L29))+MAX(0,-N(O29))+MAX(0,-N(R29))+MAX(0,-N(U29))+MAX(0,-N(X29))+MAX(0,-N(AA29))+MAX(0,-N(AD29))+MAX(0,-N(AG29))+MAX(0,-N(AJ29))+MAX(0,-N(AM29)))</f>
        <v/>
      </c>
      <c r="AS29">
        <f>IF(A29="",0,IF(OR(N(AP29)&lt;0,AQ29&gt;0),1,0))</f>
        <v/>
      </c>
      <c r="AT29">
        <f>AT28+AS29</f>
        <v/>
      </c>
      <c r="AU29">
        <f>IF(A29="",-1,N(AO29)+ROW()/10000000)</f>
        <v/>
      </c>
    </row>
    <row r="30">
      <c r="A30" s="19" t="inlineStr">
        <is>
          <t>صيانة ملاعب ولاند سكيب</t>
        </is>
      </c>
      <c r="B30" s="20" t="n">
        <v>18000</v>
      </c>
      <c r="C30" s="21">
        <f>IF(A30="","",N(B30)/12)</f>
        <v/>
      </c>
      <c r="D30" s="22" t="n">
        <v>1500</v>
      </c>
      <c r="E30" s="23">
        <f>IF($A30="","",IFERROR(SUMPRODUCT(('[1]عهد ومصروفات بدر'!$H$8:$H$5007=$A30)*('[1]عهد ومصروفات بدر'!$S$8:$S$5007=1)*'[1]عهد ومصروفات بدر'!$T$8:$T$5007),0))</f>
        <v/>
      </c>
      <c r="F30" s="24">
        <f>IF($A30="","",N(D30)-N(E30))</f>
        <v/>
      </c>
      <c r="G30" s="22" t="n">
        <v>1500</v>
      </c>
      <c r="H30" s="23">
        <f>IF($A30="","",IFERROR(SUMPRODUCT(('[1]عهد ومصروفات بدر'!$H$8:$H$5007=$A30)*('[1]عهد ومصروفات بدر'!$S$8:$S$5007=2)*'[1]عهد ومصروفات بدر'!$T$8:$T$5007),0))</f>
        <v/>
      </c>
      <c r="I30" s="24">
        <f>IF($A30="","",N(G30)-N(H30))</f>
        <v/>
      </c>
      <c r="J30" s="22" t="n">
        <v>1500</v>
      </c>
      <c r="K30" s="23">
        <f>IF($A30="","",IFERROR(SUMPRODUCT(('[1]عهد ومصروفات بدر'!$H$8:$H$5007=$A30)*('[1]عهد ومصروفات بدر'!$S$8:$S$5007=3)*'[1]عهد ومصروفات بدر'!$T$8:$T$5007),0))</f>
        <v/>
      </c>
      <c r="L30" s="24">
        <f>IF($A30="","",N(J30)-N(K30))</f>
        <v/>
      </c>
      <c r="M30" s="22" t="n">
        <v>1500</v>
      </c>
      <c r="N30" s="23">
        <f>IF($A30="","",IFERROR(SUMPRODUCT(('[1]عهد ومصروفات بدر'!$H$8:$H$5007=$A30)*('[1]عهد ومصروفات بدر'!$S$8:$S$5007=4)*'[1]عهد ومصروفات بدر'!$T$8:$T$5007),0))</f>
        <v/>
      </c>
      <c r="O30" s="24">
        <f>IF($A30="","",N(M30)-N(N30))</f>
        <v/>
      </c>
      <c r="P30" s="22" t="n">
        <v>1500</v>
      </c>
      <c r="Q30" s="23">
        <f>IF($A30="","",IFERROR(SUMPRODUCT(('[1]عهد ومصروفات بدر'!$H$8:$H$5007=$A30)*('[1]عهد ومصروفات بدر'!$S$8:$S$5007=5)*'[1]عهد ومصروفات بدر'!$T$8:$T$5007),0))</f>
        <v/>
      </c>
      <c r="R30" s="24">
        <f>IF($A30="","",N(P30)-N(Q30))</f>
        <v/>
      </c>
      <c r="S30" s="22" t="n">
        <v>1500</v>
      </c>
      <c r="T30" s="23">
        <f>IF($A30="","",IFERROR(SUMPRODUCT(('[1]عهد ومصروفات بدر'!$H$8:$H$5007=$A30)*('[1]عهد ومصروفات بدر'!$S$8:$S$5007=6)*'[1]عهد ومصروفات بدر'!$T$8:$T$5007),0))</f>
        <v/>
      </c>
      <c r="U30" s="24">
        <f>IF($A30="","",N(S30)-N(T30))</f>
        <v/>
      </c>
      <c r="V30" s="22" t="n">
        <v>1500</v>
      </c>
      <c r="W30" s="23">
        <f>IF($A30="","",IFERROR(SUMPRODUCT(('[1]عهد ومصروفات بدر'!$H$8:$H$5007=$A30)*('[1]عهد ومصروفات بدر'!$S$8:$S$5007=7)*'[1]عهد ومصروفات بدر'!$T$8:$T$5007),0))</f>
        <v/>
      </c>
      <c r="X30" s="24">
        <f>IF($A30="","",N(V30)-N(W30))</f>
        <v/>
      </c>
      <c r="Y30" s="22" t="n">
        <v>1500</v>
      </c>
      <c r="Z30" s="23">
        <f>IF($A30="","",IFERROR(SUMPRODUCT(('[1]عهد ومصروفات بدر'!$H$8:$H$5007=$A30)*('[1]عهد ومصروفات بدر'!$S$8:$S$5007=8)*'[1]عهد ومصروفات بدر'!$T$8:$T$5007),0))</f>
        <v/>
      </c>
      <c r="AA30" s="24">
        <f>IF($A30="","",N(Y30)-N(Z30))</f>
        <v/>
      </c>
      <c r="AB30" s="22" t="n">
        <v>1500</v>
      </c>
      <c r="AC30" s="23">
        <f>IF($A30="","",IFERROR(SUMPRODUCT(('[1]عهد ومصروفات بدر'!$H$8:$H$5007=$A30)*('[1]عهد ومصروفات بدر'!$S$8:$S$5007=9)*'[1]عهد ومصروفات بدر'!$T$8:$T$5007),0))</f>
        <v/>
      </c>
      <c r="AD30" s="24">
        <f>IF($A30="","",N(AB30)-N(AC30))</f>
        <v/>
      </c>
      <c r="AE30" s="22" t="n">
        <v>1500</v>
      </c>
      <c r="AF30" s="23">
        <f>IF($A30="","",IFERROR(SUMPRODUCT(('[1]عهد ومصروفات بدر'!$H$8:$H$5007=$A30)*('[1]عهد ومصروفات بدر'!$S$8:$S$5007=10)*'[1]عهد ومصروفات بدر'!$T$8:$T$5007),0))</f>
        <v/>
      </c>
      <c r="AG30" s="24">
        <f>IF($A30="","",N(AE30)-N(AF30))</f>
        <v/>
      </c>
      <c r="AH30" s="22" t="n">
        <v>1500</v>
      </c>
      <c r="AI30" s="23">
        <f>IF($A30="","",IFERROR(SUMPRODUCT(('[1]عهد ومصروفات بدر'!$H$8:$H$5007=$A30)*('[1]عهد ومصروفات بدر'!$S$8:$S$5007=11)*'[1]عهد ومصروفات بدر'!$T$8:$T$5007),0))</f>
        <v/>
      </c>
      <c r="AJ30" s="24">
        <f>IF($A30="","",N(AH30)-N(AI30))</f>
        <v/>
      </c>
      <c r="AK30" s="22" t="n">
        <v>1500</v>
      </c>
      <c r="AL30" s="23">
        <f>IF($A30="","",IFERROR(SUMPRODUCT(('[1]عهد ومصروفات بدر'!$H$8:$H$5007=$A30)*('[1]عهد ومصروفات بدر'!$S$8:$S$5007=12)*'[1]عهد ومصروفات بدر'!$T$8:$T$5007),0))</f>
        <v/>
      </c>
      <c r="AM30" s="24">
        <f>IF($A30="","",N(AK30)-N(AL30))</f>
        <v/>
      </c>
      <c r="AN30" s="25">
        <f>IF(A30="","",N(D30)+N(G30)+N(J30)+N(M30)+N(P30)+N(S30)+N(V30)+N(Y30)+N(AB30)+N(AE30)+N(AH30)+N(AK30))</f>
        <v/>
      </c>
      <c r="AO30" s="25">
        <f>IF(A30="","",N(E30)+N(H30)+N(K30)+N(N30)+N(Q30)+N(T30)+N(W30)+N(Z30)+N(AC30)+N(AF30)+N(AI30)+N(AL30))</f>
        <v/>
      </c>
      <c r="AP30" s="26">
        <f>IF(A30="","",N(B30)-AO30)</f>
        <v/>
      </c>
      <c r="AQ30">
        <f>IF(A30="",0,(N(F30)&lt;0)+(N(I30)&lt;0)+(N(L30)&lt;0)+(N(O30)&lt;0)+(N(R30)&lt;0)+(N(U30)&lt;0)+(N(X30)&lt;0)+(N(AA30)&lt;0)+(N(AD30)&lt;0)+(N(AG30)&lt;0)+(N(AJ30)&lt;0)+(N(AM30)&lt;0))</f>
        <v/>
      </c>
      <c r="AR30">
        <f>IF(A30="",0,MAX(0,-N(F30))+MAX(0,-N(I30))+MAX(0,-N(L30))+MAX(0,-N(O30))+MAX(0,-N(R30))+MAX(0,-N(U30))+MAX(0,-N(X30))+MAX(0,-N(AA30))+MAX(0,-N(AD30))+MAX(0,-N(AG30))+MAX(0,-N(AJ30))+MAX(0,-N(AM30)))</f>
        <v/>
      </c>
      <c r="AS30">
        <f>IF(A30="",0,IF(OR(N(AP30)&lt;0,AQ30&gt;0),1,0))</f>
        <v/>
      </c>
      <c r="AT30">
        <f>AT29+AS30</f>
        <v/>
      </c>
      <c r="AU30">
        <f>IF(A30="",-1,N(AO30)+ROW()/10000000)</f>
        <v/>
      </c>
    </row>
    <row r="31">
      <c r="A31" s="19" t="inlineStr">
        <is>
          <t>تكاليف متنوعة وطوارئ</t>
        </is>
      </c>
      <c r="B31" s="20" t="n">
        <v>18000</v>
      </c>
      <c r="C31" s="21">
        <f>IF(A31="","",N(B31)/12)</f>
        <v/>
      </c>
      <c r="D31" s="22" t="n">
        <v>0</v>
      </c>
      <c r="E31" s="23">
        <f>IF($A31="","",IFERROR(SUMPRODUCT(('[1]عهد ومصروفات بدر'!$H$8:$H$5007=$A31)*('[1]عهد ومصروفات بدر'!$S$8:$S$5007=1)*'[1]عهد ومصروفات بدر'!$T$8:$T$5007),0))</f>
        <v/>
      </c>
      <c r="F31" s="24">
        <f>IF($A31="","",N(D31)-N(E31))</f>
        <v/>
      </c>
      <c r="G31" s="22" t="n">
        <v>0</v>
      </c>
      <c r="H31" s="23">
        <f>IF($A31="","",IFERROR(SUMPRODUCT(('[1]عهد ومصروفات بدر'!$H$8:$H$5007=$A31)*('[1]عهد ومصروفات بدر'!$S$8:$S$5007=2)*'[1]عهد ومصروفات بدر'!$T$8:$T$5007),0))</f>
        <v/>
      </c>
      <c r="I31" s="24">
        <f>IF($A31="","",N(G31)-N(H31))</f>
        <v/>
      </c>
      <c r="J31" s="22" t="n">
        <v>0</v>
      </c>
      <c r="K31" s="23">
        <f>IF($A31="","",IFERROR(SUMPRODUCT(('[1]عهد ومصروفات بدر'!$H$8:$H$5007=$A31)*('[1]عهد ومصروفات بدر'!$S$8:$S$5007=3)*'[1]عهد ومصروفات بدر'!$T$8:$T$5007),0))</f>
        <v/>
      </c>
      <c r="L31" s="24">
        <f>IF($A31="","",N(J31)-N(K31))</f>
        <v/>
      </c>
      <c r="M31" s="22" t="n">
        <v>0</v>
      </c>
      <c r="N31" s="23">
        <f>IF($A31="","",IFERROR(SUMPRODUCT(('[1]عهد ومصروفات بدر'!$H$8:$H$5007=$A31)*('[1]عهد ومصروفات بدر'!$S$8:$S$5007=4)*'[1]عهد ومصروفات بدر'!$T$8:$T$5007),0))</f>
        <v/>
      </c>
      <c r="O31" s="24">
        <f>IF($A31="","",N(M31)-N(N31))</f>
        <v/>
      </c>
      <c r="P31" s="22" t="n">
        <v>0</v>
      </c>
      <c r="Q31" s="23">
        <f>IF($A31="","",IFERROR(SUMPRODUCT(('[1]عهد ومصروفات بدر'!$H$8:$H$5007=$A31)*('[1]عهد ومصروفات بدر'!$S$8:$S$5007=5)*'[1]عهد ومصروفات بدر'!$T$8:$T$5007),0))</f>
        <v/>
      </c>
      <c r="R31" s="24">
        <f>IF($A31="","",N(P31)-N(Q31))</f>
        <v/>
      </c>
      <c r="S31" s="22" t="n">
        <v>0</v>
      </c>
      <c r="T31" s="23">
        <f>IF($A31="","",IFERROR(SUMPRODUCT(('[1]عهد ومصروفات بدر'!$H$8:$H$5007=$A31)*('[1]عهد ومصروفات بدر'!$S$8:$S$5007=6)*'[1]عهد ومصروفات بدر'!$T$8:$T$5007),0))</f>
        <v/>
      </c>
      <c r="U31" s="24">
        <f>IF($A31="","",N(S31)-N(T31))</f>
        <v/>
      </c>
      <c r="V31" s="22" t="n">
        <v>0</v>
      </c>
      <c r="W31" s="23">
        <f>IF($A31="","",IFERROR(SUMPRODUCT(('[1]عهد ومصروفات بدر'!$H$8:$H$5007=$A31)*('[1]عهد ومصروفات بدر'!$S$8:$S$5007=7)*'[1]عهد ومصروفات بدر'!$T$8:$T$5007),0))</f>
        <v/>
      </c>
      <c r="X31" s="24">
        <f>IF($A31="","",N(V31)-N(W31))</f>
        <v/>
      </c>
      <c r="Y31" s="22" t="n">
        <v>0</v>
      </c>
      <c r="Z31" s="23">
        <f>IF($A31="","",IFERROR(SUMPRODUCT(('[1]عهد ومصروفات بدر'!$H$8:$H$5007=$A31)*('[1]عهد ومصروفات بدر'!$S$8:$S$5007=8)*'[1]عهد ومصروفات بدر'!$T$8:$T$5007),0))</f>
        <v/>
      </c>
      <c r="AA31" s="24">
        <f>IF($A31="","",N(Y31)-N(Z31))</f>
        <v/>
      </c>
      <c r="AB31" s="22" t="n">
        <v>0</v>
      </c>
      <c r="AC31" s="23">
        <f>IF($A31="","",IFERROR(SUMPRODUCT(('[1]عهد ومصروفات بدر'!$H$8:$H$5007=$A31)*('[1]عهد ومصروفات بدر'!$S$8:$S$5007=9)*'[1]عهد ومصروفات بدر'!$T$8:$T$5007),0))</f>
        <v/>
      </c>
      <c r="AD31" s="24">
        <f>IF($A31="","",N(AB31)-N(AC31))</f>
        <v/>
      </c>
      <c r="AE31" s="22" t="n">
        <v>0</v>
      </c>
      <c r="AF31" s="23">
        <f>IF($A31="","",IFERROR(SUMPRODUCT(('[1]عهد ومصروفات بدر'!$H$8:$H$5007=$A31)*('[1]عهد ومصروفات بدر'!$S$8:$S$5007=10)*'[1]عهد ومصروفات بدر'!$T$8:$T$5007),0))</f>
        <v/>
      </c>
      <c r="AG31" s="24">
        <f>IF($A31="","",N(AE31)-N(AF31))</f>
        <v/>
      </c>
      <c r="AH31" s="22" t="n">
        <v>0</v>
      </c>
      <c r="AI31" s="23">
        <f>IF($A31="","",IFERROR(SUMPRODUCT(('[1]عهد ومصروفات بدر'!$H$8:$H$5007=$A31)*('[1]عهد ومصروفات بدر'!$S$8:$S$5007=11)*'[1]عهد ومصروفات بدر'!$T$8:$T$5007),0))</f>
        <v/>
      </c>
      <c r="AJ31" s="24">
        <f>IF($A31="","",N(AH31)-N(AI31))</f>
        <v/>
      </c>
      <c r="AK31" s="22" t="n">
        <v>0</v>
      </c>
      <c r="AL31" s="23">
        <f>IF($A31="","",IFERROR(SUMPRODUCT(('[1]عهد ومصروفات بدر'!$H$8:$H$5007=$A31)*('[1]عهد ومصروفات بدر'!$S$8:$S$5007=12)*'[1]عهد ومصروفات بدر'!$T$8:$T$5007),0))</f>
        <v/>
      </c>
      <c r="AM31" s="24">
        <f>IF($A31="","",N(AK31)-N(AL31))</f>
        <v/>
      </c>
      <c r="AN31" s="25">
        <f>IF(A31="","",N(D31)+N(G31)+N(J31)+N(M31)+N(P31)+N(S31)+N(V31)+N(Y31)+N(AB31)+N(AE31)+N(AH31)+N(AK31))</f>
        <v/>
      </c>
      <c r="AO31" s="25">
        <f>IF(A31="","",N(E31)+N(H31)+N(K31)+N(N31)+N(Q31)+N(T31)+N(W31)+N(Z31)+N(AC31)+N(AF31)+N(AI31)+N(AL31))</f>
        <v/>
      </c>
      <c r="AP31" s="26">
        <f>IF(A31="","",N(B31)-AO31)</f>
        <v/>
      </c>
      <c r="AQ31">
        <f>IF(A31="",0,(N(F31)&lt;0)+(N(I31)&lt;0)+(N(L31)&lt;0)+(N(O31)&lt;0)+(N(R31)&lt;0)+(N(U31)&lt;0)+(N(X31)&lt;0)+(N(AA31)&lt;0)+(N(AD31)&lt;0)+(N(AG31)&lt;0)+(N(AJ31)&lt;0)+(N(AM31)&lt;0))</f>
        <v/>
      </c>
      <c r="AR31">
        <f>IF(A31="",0,MAX(0,-N(F31))+MAX(0,-N(I31))+MAX(0,-N(L31))+MAX(0,-N(O31))+MAX(0,-N(R31))+MAX(0,-N(U31))+MAX(0,-N(X31))+MAX(0,-N(AA31))+MAX(0,-N(AD31))+MAX(0,-N(AG31))+MAX(0,-N(AJ31))+MAX(0,-N(AM31)))</f>
        <v/>
      </c>
      <c r="AS31">
        <f>IF(A31="",0,IF(OR(N(AP31)&lt;0,AQ31&gt;0),1,0))</f>
        <v/>
      </c>
      <c r="AT31">
        <f>AT30+AS31</f>
        <v/>
      </c>
      <c r="AU31">
        <f>IF(A31="",-1,N(AO31)+ROW()/10000000)</f>
        <v/>
      </c>
    </row>
    <row r="32">
      <c r="A32" s="19" t="inlineStr">
        <is>
          <t>مصاريف امتحان الدبلوم</t>
        </is>
      </c>
      <c r="B32" s="20" t="n">
        <v>30000</v>
      </c>
      <c r="C32" s="21">
        <f>IF(A32="","",N(B32)/12)</f>
        <v/>
      </c>
      <c r="D32" s="22" t="n">
        <v>0</v>
      </c>
      <c r="E32" s="23">
        <f>IF($A32="","",IFERROR(SUMPRODUCT(('[1]عهد ومصروفات بدر'!$H$8:$H$5007=$A32)*('[1]عهد ومصروفات بدر'!$S$8:$S$5007=1)*'[1]عهد ومصروفات بدر'!$T$8:$T$5007),0))</f>
        <v/>
      </c>
      <c r="F32" s="24">
        <f>IF($A32="","",N(D32)-N(E32))</f>
        <v/>
      </c>
      <c r="G32" s="22" t="n">
        <v>0</v>
      </c>
      <c r="H32" s="23">
        <f>IF($A32="","",IFERROR(SUMPRODUCT(('[1]عهد ومصروفات بدر'!$H$8:$H$5007=$A32)*('[1]عهد ومصروفات بدر'!$S$8:$S$5007=2)*'[1]عهد ومصروفات بدر'!$T$8:$T$5007),0))</f>
        <v/>
      </c>
      <c r="I32" s="24">
        <f>IF($A32="","",N(G32)-N(H32))</f>
        <v/>
      </c>
      <c r="J32" s="22" t="n">
        <v>0</v>
      </c>
      <c r="K32" s="23">
        <f>IF($A32="","",IFERROR(SUMPRODUCT(('[1]عهد ومصروفات بدر'!$H$8:$H$5007=$A32)*('[1]عهد ومصروفات بدر'!$S$8:$S$5007=3)*'[1]عهد ومصروفات بدر'!$T$8:$T$5007),0))</f>
        <v/>
      </c>
      <c r="L32" s="24">
        <f>IF($A32="","",N(J32)-N(K32))</f>
        <v/>
      </c>
      <c r="M32" s="22" t="n">
        <v>0</v>
      </c>
      <c r="N32" s="23">
        <f>IF($A32="","",IFERROR(SUMPRODUCT(('[1]عهد ومصروفات بدر'!$H$8:$H$5007=$A32)*('[1]عهد ومصروفات بدر'!$S$8:$S$5007=4)*'[1]عهد ومصروفات بدر'!$T$8:$T$5007),0))</f>
        <v/>
      </c>
      <c r="O32" s="24">
        <f>IF($A32="","",N(M32)-N(N32))</f>
        <v/>
      </c>
      <c r="P32" s="22" t="n">
        <v>0</v>
      </c>
      <c r="Q32" s="23">
        <f>IF($A32="","",IFERROR(SUMPRODUCT(('[1]عهد ومصروفات بدر'!$H$8:$H$5007=$A32)*('[1]عهد ومصروفات بدر'!$S$8:$S$5007=5)*'[1]عهد ومصروفات بدر'!$T$8:$T$5007),0))</f>
        <v/>
      </c>
      <c r="R32" s="24">
        <f>IF($A32="","",N(P32)-N(Q32))</f>
        <v/>
      </c>
      <c r="S32" s="22" t="n">
        <v>0</v>
      </c>
      <c r="T32" s="23">
        <f>IF($A32="","",IFERROR(SUMPRODUCT(('[1]عهد ومصروفات بدر'!$H$8:$H$5007=$A32)*('[1]عهد ومصروفات بدر'!$S$8:$S$5007=6)*'[1]عهد ومصروفات بدر'!$T$8:$T$5007),0))</f>
        <v/>
      </c>
      <c r="U32" s="24">
        <f>IF($A32="","",N(S32)-N(T32))</f>
        <v/>
      </c>
      <c r="V32" s="22" t="n">
        <v>0</v>
      </c>
      <c r="W32" s="23">
        <f>IF($A32="","",IFERROR(SUMPRODUCT(('[1]عهد ومصروفات بدر'!$H$8:$H$5007=$A32)*('[1]عهد ومصروفات بدر'!$S$8:$S$5007=7)*'[1]عهد ومصروفات بدر'!$T$8:$T$5007),0))</f>
        <v/>
      </c>
      <c r="X32" s="24">
        <f>IF($A32="","",N(V32)-N(W32))</f>
        <v/>
      </c>
      <c r="Y32" s="22" t="n">
        <v>0</v>
      </c>
      <c r="Z32" s="23">
        <f>IF($A32="","",IFERROR(SUMPRODUCT(('[1]عهد ومصروفات بدر'!$H$8:$H$5007=$A32)*('[1]عهد ومصروفات بدر'!$S$8:$S$5007=8)*'[1]عهد ومصروفات بدر'!$T$8:$T$5007),0))</f>
        <v/>
      </c>
      <c r="AA32" s="24">
        <f>IF($A32="","",N(Y32)-N(Z32))</f>
        <v/>
      </c>
      <c r="AB32" s="22" t="n">
        <v>0</v>
      </c>
      <c r="AC32" s="23">
        <f>IF($A32="","",IFERROR(SUMPRODUCT(('[1]عهد ومصروفات بدر'!$H$8:$H$5007=$A32)*('[1]عهد ومصروفات بدر'!$S$8:$S$5007=9)*'[1]عهد ومصروفات بدر'!$T$8:$T$5007),0))</f>
        <v/>
      </c>
      <c r="AD32" s="24">
        <f>IF($A32="","",N(AB32)-N(AC32))</f>
        <v/>
      </c>
      <c r="AE32" s="22" t="n">
        <v>30000</v>
      </c>
      <c r="AF32" s="23">
        <f>IF($A32="","",IFERROR(SUMPRODUCT(('[1]عهد ومصروفات بدر'!$H$8:$H$5007=$A32)*('[1]عهد ومصروفات بدر'!$S$8:$S$5007=10)*'[1]عهد ومصروفات بدر'!$T$8:$T$5007),0))</f>
        <v/>
      </c>
      <c r="AG32" s="24">
        <f>IF($A32="","",N(AE32)-N(AF32))</f>
        <v/>
      </c>
      <c r="AH32" s="22" t="n">
        <v>0</v>
      </c>
      <c r="AI32" s="23">
        <f>IF($A32="","",IFERROR(SUMPRODUCT(('[1]عهد ومصروفات بدر'!$H$8:$H$5007=$A32)*('[1]عهد ومصروفات بدر'!$S$8:$S$5007=11)*'[1]عهد ومصروفات بدر'!$T$8:$T$5007),0))</f>
        <v/>
      </c>
      <c r="AJ32" s="24">
        <f>IF($A32="","",N(AH32)-N(AI32))</f>
        <v/>
      </c>
      <c r="AK32" s="22" t="n">
        <v>0</v>
      </c>
      <c r="AL32" s="23">
        <f>IF($A32="","",IFERROR(SUMPRODUCT(('[1]عهد ومصروفات بدر'!$H$8:$H$5007=$A32)*('[1]عهد ومصروفات بدر'!$S$8:$S$5007=12)*'[1]عهد ومصروفات بدر'!$T$8:$T$5007),0))</f>
        <v/>
      </c>
      <c r="AM32" s="24">
        <f>IF($A32="","",N(AK32)-N(AL32))</f>
        <v/>
      </c>
      <c r="AN32" s="25">
        <f>IF(A32="","",N(D32)+N(G32)+N(J32)+N(M32)+N(P32)+N(S32)+N(V32)+N(Y32)+N(AB32)+N(AE32)+N(AH32)+N(AK32))</f>
        <v/>
      </c>
      <c r="AO32" s="25">
        <f>IF(A32="","",N(E32)+N(H32)+N(K32)+N(N32)+N(Q32)+N(T32)+N(W32)+N(Z32)+N(AC32)+N(AF32)+N(AI32)+N(AL32))</f>
        <v/>
      </c>
      <c r="AP32" s="26">
        <f>IF(A32="","",N(B32)-AO32)</f>
        <v/>
      </c>
      <c r="AQ32">
        <f>IF(A32="",0,(N(F32)&lt;0)+(N(I32)&lt;0)+(N(L32)&lt;0)+(N(O32)&lt;0)+(N(R32)&lt;0)+(N(U32)&lt;0)+(N(X32)&lt;0)+(N(AA32)&lt;0)+(N(AD32)&lt;0)+(N(AG32)&lt;0)+(N(AJ32)&lt;0)+(N(AM32)&lt;0))</f>
        <v/>
      </c>
      <c r="AR32">
        <f>IF(A32="",0,MAX(0,-N(F32))+MAX(0,-N(I32))+MAX(0,-N(L32))+MAX(0,-N(O32))+MAX(0,-N(R32))+MAX(0,-N(U32))+MAX(0,-N(X32))+MAX(0,-N(AA32))+MAX(0,-N(AD32))+MAX(0,-N(AG32))+MAX(0,-N(AJ32))+MAX(0,-N(AM32)))</f>
        <v/>
      </c>
      <c r="AS32">
        <f>IF(A32="",0,IF(OR(N(AP32)&lt;0,AQ32&gt;0),1,0))</f>
        <v/>
      </c>
      <c r="AT32">
        <f>AT31+AS32</f>
        <v/>
      </c>
      <c r="AU32">
        <f>IF(A32="",-1,N(AO32)+ROW()/10000000)</f>
        <v/>
      </c>
    </row>
    <row r="33">
      <c r="A33" s="19" t="inlineStr">
        <is>
          <t>مصاريف تسويق مستمر</t>
        </is>
      </c>
      <c r="B33" s="20" t="n">
        <v>24000</v>
      </c>
      <c r="C33" s="21">
        <f>IF(A33="","",N(B33)/12)</f>
        <v/>
      </c>
      <c r="D33" s="22" t="n">
        <v>0</v>
      </c>
      <c r="E33" s="23">
        <f>IF($A33="","",IFERROR(SUMPRODUCT(('[1]عهد ومصروفات بدر'!$H$8:$H$5007=$A33)*('[1]عهد ومصروفات بدر'!$S$8:$S$5007=1)*'[1]عهد ومصروفات بدر'!$T$8:$T$5007),0))</f>
        <v/>
      </c>
      <c r="F33" s="24">
        <f>IF($A33="","",N(D33)-N(E33))</f>
        <v/>
      </c>
      <c r="G33" s="22" t="n">
        <v>0</v>
      </c>
      <c r="H33" s="23">
        <f>IF($A33="","",IFERROR(SUMPRODUCT(('[1]عهد ومصروفات بدر'!$H$8:$H$5007=$A33)*('[1]عهد ومصروفات بدر'!$S$8:$S$5007=2)*'[1]عهد ومصروفات بدر'!$T$8:$T$5007),0))</f>
        <v/>
      </c>
      <c r="I33" s="24">
        <f>IF($A33="","",N(G33)-N(H33))</f>
        <v/>
      </c>
      <c r="J33" s="22" t="n">
        <v>0</v>
      </c>
      <c r="K33" s="23">
        <f>IF($A33="","",IFERROR(SUMPRODUCT(('[1]عهد ومصروفات بدر'!$H$8:$H$5007=$A33)*('[1]عهد ومصروفات بدر'!$S$8:$S$5007=3)*'[1]عهد ومصروفات بدر'!$T$8:$T$5007),0))</f>
        <v/>
      </c>
      <c r="L33" s="24">
        <f>IF($A33="","",N(J33)-N(K33))</f>
        <v/>
      </c>
      <c r="M33" s="22" t="n">
        <v>0</v>
      </c>
      <c r="N33" s="23">
        <f>IF($A33="","",IFERROR(SUMPRODUCT(('[1]عهد ومصروفات بدر'!$H$8:$H$5007=$A33)*('[1]عهد ومصروفات بدر'!$S$8:$S$5007=4)*'[1]عهد ومصروفات بدر'!$T$8:$T$5007),0))</f>
        <v/>
      </c>
      <c r="O33" s="24">
        <f>IF($A33="","",N(M33)-N(N33))</f>
        <v/>
      </c>
      <c r="P33" s="22" t="n">
        <v>0</v>
      </c>
      <c r="Q33" s="23">
        <f>IF($A33="","",IFERROR(SUMPRODUCT(('[1]عهد ومصروفات بدر'!$H$8:$H$5007=$A33)*('[1]عهد ومصروفات بدر'!$S$8:$S$5007=5)*'[1]عهد ومصروفات بدر'!$T$8:$T$5007),0))</f>
        <v/>
      </c>
      <c r="R33" s="24">
        <f>IF($A33="","",N(P33)-N(Q33))</f>
        <v/>
      </c>
      <c r="S33" s="22" t="n">
        <v>0</v>
      </c>
      <c r="T33" s="23">
        <f>IF($A33="","",IFERROR(SUMPRODUCT(('[1]عهد ومصروفات بدر'!$H$8:$H$5007=$A33)*('[1]عهد ومصروفات بدر'!$S$8:$S$5007=6)*'[1]عهد ومصروفات بدر'!$T$8:$T$5007),0))</f>
        <v/>
      </c>
      <c r="U33" s="24">
        <f>IF($A33="","",N(S33)-N(T33))</f>
        <v/>
      </c>
      <c r="V33" s="22" t="n">
        <v>0</v>
      </c>
      <c r="W33" s="23">
        <f>IF($A33="","",IFERROR(SUMPRODUCT(('[1]عهد ومصروفات بدر'!$H$8:$H$5007=$A33)*('[1]عهد ومصروفات بدر'!$S$8:$S$5007=7)*'[1]عهد ومصروفات بدر'!$T$8:$T$5007),0))</f>
        <v/>
      </c>
      <c r="X33" s="24">
        <f>IF($A33="","",N(V33)-N(W33))</f>
        <v/>
      </c>
      <c r="Y33" s="22" t="n">
        <v>0</v>
      </c>
      <c r="Z33" s="23">
        <f>IF($A33="","",IFERROR(SUMPRODUCT(('[1]عهد ومصروفات بدر'!$H$8:$H$5007=$A33)*('[1]عهد ومصروفات بدر'!$S$8:$S$5007=8)*'[1]عهد ومصروفات بدر'!$T$8:$T$5007),0))</f>
        <v/>
      </c>
      <c r="AA33" s="24">
        <f>IF($A33="","",N(Y33)-N(Z33))</f>
        <v/>
      </c>
      <c r="AB33" s="22" t="n">
        <v>0</v>
      </c>
      <c r="AC33" s="23">
        <f>IF($A33="","",IFERROR(SUMPRODUCT(('[1]عهد ومصروفات بدر'!$H$8:$H$5007=$A33)*('[1]عهد ومصروفات بدر'!$S$8:$S$5007=9)*'[1]عهد ومصروفات بدر'!$T$8:$T$5007),0))</f>
        <v/>
      </c>
      <c r="AD33" s="24">
        <f>IF($A33="","",N(AB33)-N(AC33))</f>
        <v/>
      </c>
      <c r="AE33" s="22" t="n">
        <v>0</v>
      </c>
      <c r="AF33" s="23">
        <f>IF($A33="","",IFERROR(SUMPRODUCT(('[1]عهد ومصروفات بدر'!$H$8:$H$5007=$A33)*('[1]عهد ومصروفات بدر'!$S$8:$S$5007=10)*'[1]عهد ومصروفات بدر'!$T$8:$T$5007),0))</f>
        <v/>
      </c>
      <c r="AG33" s="24">
        <f>IF($A33="","",N(AE33)-N(AF33))</f>
        <v/>
      </c>
      <c r="AH33" s="22" t="n">
        <v>0</v>
      </c>
      <c r="AI33" s="23">
        <f>IF($A33="","",IFERROR(SUMPRODUCT(('[1]عهد ومصروفات بدر'!$H$8:$H$5007=$A33)*('[1]عهد ومصروفات بدر'!$S$8:$S$5007=11)*'[1]عهد ومصروفات بدر'!$T$8:$T$5007),0))</f>
        <v/>
      </c>
      <c r="AJ33" s="24">
        <f>IF($A33="","",N(AH33)-N(AI33))</f>
        <v/>
      </c>
      <c r="AK33" s="22" t="n">
        <v>0</v>
      </c>
      <c r="AL33" s="23">
        <f>IF($A33="","",IFERROR(SUMPRODUCT(('[1]عهد ومصروفات بدر'!$H$8:$H$5007=$A33)*('[1]عهد ومصروفات بدر'!$S$8:$S$5007=12)*'[1]عهد ومصروفات بدر'!$T$8:$T$5007),0))</f>
        <v/>
      </c>
      <c r="AM33" s="24">
        <f>IF($A33="","",N(AK33)-N(AL33))</f>
        <v/>
      </c>
      <c r="AN33" s="25">
        <f>IF(A33="","",N(D33)+N(G33)+N(J33)+N(M33)+N(P33)+N(S33)+N(V33)+N(Y33)+N(AB33)+N(AE33)+N(AH33)+N(AK33))</f>
        <v/>
      </c>
      <c r="AO33" s="25">
        <f>IF(A33="","",N(E33)+N(H33)+N(K33)+N(N33)+N(Q33)+N(T33)+N(W33)+N(Z33)+N(AC33)+N(AF33)+N(AI33)+N(AL33))</f>
        <v/>
      </c>
      <c r="AP33" s="26">
        <f>IF(A33="","",N(B33)-AO33)</f>
        <v/>
      </c>
      <c r="AQ33">
        <f>IF(A33="",0,(N(F33)&lt;0)+(N(I33)&lt;0)+(N(L33)&lt;0)+(N(O33)&lt;0)+(N(R33)&lt;0)+(N(U33)&lt;0)+(N(X33)&lt;0)+(N(AA33)&lt;0)+(N(AD33)&lt;0)+(N(AG33)&lt;0)+(N(AJ33)&lt;0)+(N(AM33)&lt;0))</f>
        <v/>
      </c>
      <c r="AR33">
        <f>IF(A33="",0,MAX(0,-N(F33))+MAX(0,-N(I33))+MAX(0,-N(L33))+MAX(0,-N(O33))+MAX(0,-N(R33))+MAX(0,-N(U33))+MAX(0,-N(X33))+MAX(0,-N(AA33))+MAX(0,-N(AD33))+MAX(0,-N(AG33))+MAX(0,-N(AJ33))+MAX(0,-N(AM33)))</f>
        <v/>
      </c>
      <c r="AS33">
        <f>IF(A33="",0,IF(OR(N(AP33)&lt;0,AQ33&gt;0),1,0))</f>
        <v/>
      </c>
      <c r="AT33">
        <f>AT32+AS33</f>
        <v/>
      </c>
      <c r="AU33">
        <f>IF(A33="",-1,N(AO33)+ROW()/10000000)</f>
        <v/>
      </c>
    </row>
    <row r="34">
      <c r="A34" s="19" t="inlineStr">
        <is>
          <t>تطوير المناهج بالتخصص</t>
        </is>
      </c>
      <c r="B34" s="20" t="n">
        <v>100000</v>
      </c>
      <c r="C34" s="21">
        <f>IF(A34="","",N(B34)/12)</f>
        <v/>
      </c>
      <c r="D34" s="22" t="n">
        <v>0</v>
      </c>
      <c r="E34" s="23">
        <f>IF($A34="","",IFERROR(SUMPRODUCT(('[1]عهد ومصروفات بدر'!$H$8:$H$5007=$A34)*('[1]عهد ومصروفات بدر'!$S$8:$S$5007=1)*'[1]عهد ومصروفات بدر'!$T$8:$T$5007),0))</f>
        <v/>
      </c>
      <c r="F34" s="24">
        <f>IF($A34="","",N(D34)-N(E34))</f>
        <v/>
      </c>
      <c r="G34" s="22" t="n">
        <v>0</v>
      </c>
      <c r="H34" s="23">
        <f>IF($A34="","",IFERROR(SUMPRODUCT(('[1]عهد ومصروفات بدر'!$H$8:$H$5007=$A34)*('[1]عهد ومصروفات بدر'!$S$8:$S$5007=2)*'[1]عهد ومصروفات بدر'!$T$8:$T$5007),0))</f>
        <v/>
      </c>
      <c r="I34" s="24">
        <f>IF($A34="","",N(G34)-N(H34))</f>
        <v/>
      </c>
      <c r="J34" s="22" t="n">
        <v>0</v>
      </c>
      <c r="K34" s="23">
        <f>IF($A34="","",IFERROR(SUMPRODUCT(('[1]عهد ومصروفات بدر'!$H$8:$H$5007=$A34)*('[1]عهد ومصروفات بدر'!$S$8:$S$5007=3)*'[1]عهد ومصروفات بدر'!$T$8:$T$5007),0))</f>
        <v/>
      </c>
      <c r="L34" s="24">
        <f>IF($A34="","",N(J34)-N(K34))</f>
        <v/>
      </c>
      <c r="M34" s="22" t="n">
        <v>0</v>
      </c>
      <c r="N34" s="23">
        <f>IF($A34="","",IFERROR(SUMPRODUCT(('[1]عهد ومصروفات بدر'!$H$8:$H$5007=$A34)*('[1]عهد ومصروفات بدر'!$S$8:$S$5007=4)*'[1]عهد ومصروفات بدر'!$T$8:$T$5007),0))</f>
        <v/>
      </c>
      <c r="O34" s="24">
        <f>IF($A34="","",N(M34)-N(N34))</f>
        <v/>
      </c>
      <c r="P34" s="22" t="n">
        <v>0</v>
      </c>
      <c r="Q34" s="23">
        <f>IF($A34="","",IFERROR(SUMPRODUCT(('[1]عهد ومصروفات بدر'!$H$8:$H$5007=$A34)*('[1]عهد ومصروفات بدر'!$S$8:$S$5007=5)*'[1]عهد ومصروفات بدر'!$T$8:$T$5007),0))</f>
        <v/>
      </c>
      <c r="R34" s="24">
        <f>IF($A34="","",N(P34)-N(Q34))</f>
        <v/>
      </c>
      <c r="S34" s="22" t="n">
        <v>0</v>
      </c>
      <c r="T34" s="23">
        <f>IF($A34="","",IFERROR(SUMPRODUCT(('[1]عهد ومصروفات بدر'!$H$8:$H$5007=$A34)*('[1]عهد ومصروفات بدر'!$S$8:$S$5007=6)*'[1]عهد ومصروفات بدر'!$T$8:$T$5007),0))</f>
        <v/>
      </c>
      <c r="U34" s="24">
        <f>IF($A34="","",N(S34)-N(T34))</f>
        <v/>
      </c>
      <c r="V34" s="22" t="n">
        <v>0</v>
      </c>
      <c r="W34" s="23">
        <f>IF($A34="","",IFERROR(SUMPRODUCT(('[1]عهد ومصروفات بدر'!$H$8:$H$5007=$A34)*('[1]عهد ومصروفات بدر'!$S$8:$S$5007=7)*'[1]عهد ومصروفات بدر'!$T$8:$T$5007),0))</f>
        <v/>
      </c>
      <c r="X34" s="24">
        <f>IF($A34="","",N(V34)-N(W34))</f>
        <v/>
      </c>
      <c r="Y34" s="22" t="n">
        <v>0</v>
      </c>
      <c r="Z34" s="23">
        <f>IF($A34="","",IFERROR(SUMPRODUCT(('[1]عهد ومصروفات بدر'!$H$8:$H$5007=$A34)*('[1]عهد ومصروفات بدر'!$S$8:$S$5007=8)*'[1]عهد ومصروفات بدر'!$T$8:$T$5007),0))</f>
        <v/>
      </c>
      <c r="AA34" s="24">
        <f>IF($A34="","",N(Y34)-N(Z34))</f>
        <v/>
      </c>
      <c r="AB34" s="22" t="n">
        <v>0</v>
      </c>
      <c r="AC34" s="23">
        <f>IF($A34="","",IFERROR(SUMPRODUCT(('[1]عهد ومصروفات بدر'!$H$8:$H$5007=$A34)*('[1]عهد ومصروفات بدر'!$S$8:$S$5007=9)*'[1]عهد ومصروفات بدر'!$T$8:$T$5007),0))</f>
        <v/>
      </c>
      <c r="AD34" s="24">
        <f>IF($A34="","",N(AB34)-N(AC34))</f>
        <v/>
      </c>
      <c r="AE34" s="22" t="n">
        <v>0</v>
      </c>
      <c r="AF34" s="23">
        <f>IF($A34="","",IFERROR(SUMPRODUCT(('[1]عهد ومصروفات بدر'!$H$8:$H$5007=$A34)*('[1]عهد ومصروفات بدر'!$S$8:$S$5007=10)*'[1]عهد ومصروفات بدر'!$T$8:$T$5007),0))</f>
        <v/>
      </c>
      <c r="AG34" s="24">
        <f>IF($A34="","",N(AE34)-N(AF34))</f>
        <v/>
      </c>
      <c r="AH34" s="22" t="n">
        <v>0</v>
      </c>
      <c r="AI34" s="23">
        <f>IF($A34="","",IFERROR(SUMPRODUCT(('[1]عهد ومصروفات بدر'!$H$8:$H$5007=$A34)*('[1]عهد ومصروفات بدر'!$S$8:$S$5007=11)*'[1]عهد ومصروفات بدر'!$T$8:$T$5007),0))</f>
        <v/>
      </c>
      <c r="AJ34" s="24">
        <f>IF($A34="","",N(AH34)-N(AI34))</f>
        <v/>
      </c>
      <c r="AK34" s="22" t="n">
        <v>0</v>
      </c>
      <c r="AL34" s="23">
        <f>IF($A34="","",IFERROR(SUMPRODUCT(('[1]عهد ومصروفات بدر'!$H$8:$H$5007=$A34)*('[1]عهد ومصروفات بدر'!$S$8:$S$5007=12)*'[1]عهد ومصروفات بدر'!$T$8:$T$5007),0))</f>
        <v/>
      </c>
      <c r="AM34" s="24">
        <f>IF($A34="","",N(AK34)-N(AL34))</f>
        <v/>
      </c>
      <c r="AN34" s="25">
        <f>IF(A34="","",N(D34)+N(G34)+N(J34)+N(M34)+N(P34)+N(S34)+N(V34)+N(Y34)+N(AB34)+N(AE34)+N(AH34)+N(AK34))</f>
        <v/>
      </c>
      <c r="AO34" s="25">
        <f>IF(A34="","",N(E34)+N(H34)+N(K34)+N(N34)+N(Q34)+N(T34)+N(W34)+N(Z34)+N(AC34)+N(AF34)+N(AI34)+N(AL34))</f>
        <v/>
      </c>
      <c r="AP34" s="26">
        <f>IF(A34="","",N(B34)-AO34)</f>
        <v/>
      </c>
      <c r="AQ34">
        <f>IF(A34="",0,(N(F34)&lt;0)+(N(I34)&lt;0)+(N(L34)&lt;0)+(N(O34)&lt;0)+(N(R34)&lt;0)+(N(U34)&lt;0)+(N(X34)&lt;0)+(N(AA34)&lt;0)+(N(AD34)&lt;0)+(N(AG34)&lt;0)+(N(AJ34)&lt;0)+(N(AM34)&lt;0))</f>
        <v/>
      </c>
      <c r="AR34">
        <f>IF(A34="",0,MAX(0,-N(F34))+MAX(0,-N(I34))+MAX(0,-N(L34))+MAX(0,-N(O34))+MAX(0,-N(R34))+MAX(0,-N(U34))+MAX(0,-N(X34))+MAX(0,-N(AA34))+MAX(0,-N(AD34))+MAX(0,-N(AG34))+MAX(0,-N(AJ34))+MAX(0,-N(AM34)))</f>
        <v/>
      </c>
      <c r="AS34">
        <f>IF(A34="",0,IF(OR(N(AP34)&lt;0,AQ34&gt;0),1,0))</f>
        <v/>
      </c>
      <c r="AT34">
        <f>AT33+AS34</f>
        <v/>
      </c>
      <c r="AU34">
        <f>IF(A34="",-1,N(AO34)+ROW()/10000000)</f>
        <v/>
      </c>
    </row>
    <row r="35">
      <c r="A35" s="19" t="inlineStr">
        <is>
          <t>اشتراك وتشغيل المنصة التعليمية والإدارية</t>
        </is>
      </c>
      <c r="B35" s="20" t="n">
        <v>300000</v>
      </c>
      <c r="C35" s="21">
        <f>IF(A35="","",N(B35)/12)</f>
        <v/>
      </c>
      <c r="D35" s="22" t="n">
        <v>0</v>
      </c>
      <c r="E35" s="23">
        <f>IF($A35="","",IFERROR(SUMPRODUCT(('[1]عهد ومصروفات بدر'!$H$8:$H$5007=$A35)*('[1]عهد ومصروفات بدر'!$S$8:$S$5007=1)*'[1]عهد ومصروفات بدر'!$T$8:$T$5007),0))</f>
        <v/>
      </c>
      <c r="F35" s="24">
        <f>IF($A35="","",N(D35)-N(E35))</f>
        <v/>
      </c>
      <c r="G35" s="22" t="n">
        <v>0</v>
      </c>
      <c r="H35" s="23">
        <f>IF($A35="","",IFERROR(SUMPRODUCT(('[1]عهد ومصروفات بدر'!$H$8:$H$5007=$A35)*('[1]عهد ومصروفات بدر'!$S$8:$S$5007=2)*'[1]عهد ومصروفات بدر'!$T$8:$T$5007),0))</f>
        <v/>
      </c>
      <c r="I35" s="24">
        <f>IF($A35="","",N(G35)-N(H35))</f>
        <v/>
      </c>
      <c r="J35" s="22" t="n">
        <v>0</v>
      </c>
      <c r="K35" s="23">
        <f>IF($A35="","",IFERROR(SUMPRODUCT(('[1]عهد ومصروفات بدر'!$H$8:$H$5007=$A35)*('[1]عهد ومصروفات بدر'!$S$8:$S$5007=3)*'[1]عهد ومصروفات بدر'!$T$8:$T$5007),0))</f>
        <v/>
      </c>
      <c r="L35" s="24">
        <f>IF($A35="","",N(J35)-N(K35))</f>
        <v/>
      </c>
      <c r="M35" s="22" t="n">
        <v>0</v>
      </c>
      <c r="N35" s="23">
        <f>IF($A35="","",IFERROR(SUMPRODUCT(('[1]عهد ومصروفات بدر'!$H$8:$H$5007=$A35)*('[1]عهد ومصروفات بدر'!$S$8:$S$5007=4)*'[1]عهد ومصروفات بدر'!$T$8:$T$5007),0))</f>
        <v/>
      </c>
      <c r="O35" s="24">
        <f>IF($A35="","",N(M35)-N(N35))</f>
        <v/>
      </c>
      <c r="P35" s="22" t="n">
        <v>0</v>
      </c>
      <c r="Q35" s="23">
        <f>IF($A35="","",IFERROR(SUMPRODUCT(('[1]عهد ومصروفات بدر'!$H$8:$H$5007=$A35)*('[1]عهد ومصروفات بدر'!$S$8:$S$5007=5)*'[1]عهد ومصروفات بدر'!$T$8:$T$5007),0))</f>
        <v/>
      </c>
      <c r="R35" s="24">
        <f>IF($A35="","",N(P35)-N(Q35))</f>
        <v/>
      </c>
      <c r="S35" s="22" t="n">
        <v>0</v>
      </c>
      <c r="T35" s="23">
        <f>IF($A35="","",IFERROR(SUMPRODUCT(('[1]عهد ومصروفات بدر'!$H$8:$H$5007=$A35)*('[1]عهد ومصروفات بدر'!$S$8:$S$5007=6)*'[1]عهد ومصروفات بدر'!$T$8:$T$5007),0))</f>
        <v/>
      </c>
      <c r="U35" s="24">
        <f>IF($A35="","",N(S35)-N(T35))</f>
        <v/>
      </c>
      <c r="V35" s="22" t="n">
        <v>0</v>
      </c>
      <c r="W35" s="23">
        <f>IF($A35="","",IFERROR(SUMPRODUCT(('[1]عهد ومصروفات بدر'!$H$8:$H$5007=$A35)*('[1]عهد ومصروفات بدر'!$S$8:$S$5007=7)*'[1]عهد ومصروفات بدر'!$T$8:$T$5007),0))</f>
        <v/>
      </c>
      <c r="X35" s="24">
        <f>IF($A35="","",N(V35)-N(W35))</f>
        <v/>
      </c>
      <c r="Y35" s="22" t="n">
        <v>0</v>
      </c>
      <c r="Z35" s="23">
        <f>IF($A35="","",IFERROR(SUMPRODUCT(('[1]عهد ومصروفات بدر'!$H$8:$H$5007=$A35)*('[1]عهد ومصروفات بدر'!$S$8:$S$5007=8)*'[1]عهد ومصروفات بدر'!$T$8:$T$5007),0))</f>
        <v/>
      </c>
      <c r="AA35" s="24">
        <f>IF($A35="","",N(Y35)-N(Z35))</f>
        <v/>
      </c>
      <c r="AB35" s="22" t="n">
        <v>0</v>
      </c>
      <c r="AC35" s="23">
        <f>IF($A35="","",IFERROR(SUMPRODUCT(('[1]عهد ومصروفات بدر'!$H$8:$H$5007=$A35)*('[1]عهد ومصروفات بدر'!$S$8:$S$5007=9)*'[1]عهد ومصروفات بدر'!$T$8:$T$5007),0))</f>
        <v/>
      </c>
      <c r="AD35" s="24">
        <f>IF($A35="","",N(AB35)-N(AC35))</f>
        <v/>
      </c>
      <c r="AE35" s="22" t="n">
        <v>0</v>
      </c>
      <c r="AF35" s="23">
        <f>IF($A35="","",IFERROR(SUMPRODUCT(('[1]عهد ومصروفات بدر'!$H$8:$H$5007=$A35)*('[1]عهد ومصروفات بدر'!$S$8:$S$5007=10)*'[1]عهد ومصروفات بدر'!$T$8:$T$5007),0))</f>
        <v/>
      </c>
      <c r="AG35" s="24">
        <f>IF($A35="","",N(AE35)-N(AF35))</f>
        <v/>
      </c>
      <c r="AH35" s="22" t="n">
        <v>0</v>
      </c>
      <c r="AI35" s="23">
        <f>IF($A35="","",IFERROR(SUMPRODUCT(('[1]عهد ومصروفات بدر'!$H$8:$H$5007=$A35)*('[1]عهد ومصروفات بدر'!$S$8:$S$5007=11)*'[1]عهد ومصروفات بدر'!$T$8:$T$5007),0))</f>
        <v/>
      </c>
      <c r="AJ35" s="24">
        <f>IF($A35="","",N(AH35)-N(AI35))</f>
        <v/>
      </c>
      <c r="AK35" s="22" t="n">
        <v>0</v>
      </c>
      <c r="AL35" s="23">
        <f>IF($A35="","",IFERROR(SUMPRODUCT(('[1]عهد ومصروفات بدر'!$H$8:$H$5007=$A35)*('[1]عهد ومصروفات بدر'!$S$8:$S$5007=12)*'[1]عهد ومصروفات بدر'!$T$8:$T$5007),0))</f>
        <v/>
      </c>
      <c r="AM35" s="24">
        <f>IF($A35="","",N(AK35)-N(AL35))</f>
        <v/>
      </c>
      <c r="AN35" s="25">
        <f>IF(A35="","",N(D35)+N(G35)+N(J35)+N(M35)+N(P35)+N(S35)+N(V35)+N(Y35)+N(AB35)+N(AE35)+N(AH35)+N(AK35))</f>
        <v/>
      </c>
      <c r="AO35" s="25">
        <f>IF(A35="","",N(E35)+N(H35)+N(K35)+N(N35)+N(Q35)+N(T35)+N(W35)+N(Z35)+N(AC35)+N(AF35)+N(AI35)+N(AL35))</f>
        <v/>
      </c>
      <c r="AP35" s="26">
        <f>IF(A35="","",N(B35)-AO35)</f>
        <v/>
      </c>
      <c r="AQ35">
        <f>IF(A35="",0,(N(F35)&lt;0)+(N(I35)&lt;0)+(N(L35)&lt;0)+(N(O35)&lt;0)+(N(R35)&lt;0)+(N(U35)&lt;0)+(N(X35)&lt;0)+(N(AA35)&lt;0)+(N(AD35)&lt;0)+(N(AG35)&lt;0)+(N(AJ35)&lt;0)+(N(AM35)&lt;0))</f>
        <v/>
      </c>
      <c r="AR35">
        <f>IF(A35="",0,MAX(0,-N(F35))+MAX(0,-N(I35))+MAX(0,-N(L35))+MAX(0,-N(O35))+MAX(0,-N(R35))+MAX(0,-N(U35))+MAX(0,-N(X35))+MAX(0,-N(AA35))+MAX(0,-N(AD35))+MAX(0,-N(AG35))+MAX(0,-N(AJ35))+MAX(0,-N(AM35)))</f>
        <v/>
      </c>
      <c r="AS35">
        <f>IF(A35="",0,IF(OR(N(AP35)&lt;0,AQ35&gt;0),1,0))</f>
        <v/>
      </c>
      <c r="AT35">
        <f>AT34+AS35</f>
        <v/>
      </c>
      <c r="AU35">
        <f>IF(A35="",-1,N(AO35)+ROW()/10000000)</f>
        <v/>
      </c>
    </row>
    <row r="36">
      <c r="A36" s="19" t="inlineStr">
        <is>
          <t>مصروفات الإدارة الشهرية</t>
        </is>
      </c>
      <c r="B36" s="20" t="n">
        <v>1800000</v>
      </c>
      <c r="C36" s="21">
        <f>IF(A36="","",N(B36)/12)</f>
        <v/>
      </c>
      <c r="D36" s="22" t="n">
        <v>150000</v>
      </c>
      <c r="E36" s="23">
        <f>IF($A36="","",IFERROR(SUMPRODUCT(('[1]عهد ومصروفات بدر'!$H$8:$H$5007=$A36)*('[1]عهد ومصروفات بدر'!$S$8:$S$5007=1)*'[1]عهد ومصروفات بدر'!$T$8:$T$5007),0))</f>
        <v/>
      </c>
      <c r="F36" s="24">
        <f>IF($A36="","",N(D36)-N(E36))</f>
        <v/>
      </c>
      <c r="G36" s="22" t="n">
        <v>150000</v>
      </c>
      <c r="H36" s="23">
        <f>IF($A36="","",IFERROR(SUMPRODUCT(('[1]عهد ومصروفات بدر'!$H$8:$H$5007=$A36)*('[1]عهد ومصروفات بدر'!$S$8:$S$5007=2)*'[1]عهد ومصروفات بدر'!$T$8:$T$5007),0))</f>
        <v/>
      </c>
      <c r="I36" s="24">
        <f>IF($A36="","",N(G36)-N(H36))</f>
        <v/>
      </c>
      <c r="J36" s="22" t="n">
        <v>150000</v>
      </c>
      <c r="K36" s="23">
        <f>IF($A36="","",IFERROR(SUMPRODUCT(('[1]عهد ومصروفات بدر'!$H$8:$H$5007=$A36)*('[1]عهد ومصروفات بدر'!$S$8:$S$5007=3)*'[1]عهد ومصروفات بدر'!$T$8:$T$5007),0))</f>
        <v/>
      </c>
      <c r="L36" s="24">
        <f>IF($A36="","",N(J36)-N(K36))</f>
        <v/>
      </c>
      <c r="M36" s="22" t="n">
        <v>150000</v>
      </c>
      <c r="N36" s="23">
        <f>IF($A36="","",IFERROR(SUMPRODUCT(('[1]عهد ومصروفات بدر'!$H$8:$H$5007=$A36)*('[1]عهد ومصروفات بدر'!$S$8:$S$5007=4)*'[1]عهد ومصروفات بدر'!$T$8:$T$5007),0))</f>
        <v/>
      </c>
      <c r="O36" s="24">
        <f>IF($A36="","",N(M36)-N(N36))</f>
        <v/>
      </c>
      <c r="P36" s="22" t="n">
        <v>150000</v>
      </c>
      <c r="Q36" s="23">
        <f>IF($A36="","",IFERROR(SUMPRODUCT(('[1]عهد ومصروفات بدر'!$H$8:$H$5007=$A36)*('[1]عهد ومصروفات بدر'!$S$8:$S$5007=5)*'[1]عهد ومصروفات بدر'!$T$8:$T$5007),0))</f>
        <v/>
      </c>
      <c r="R36" s="24">
        <f>IF($A36="","",N(P36)-N(Q36))</f>
        <v/>
      </c>
      <c r="S36" s="22" t="n">
        <v>150000</v>
      </c>
      <c r="T36" s="23">
        <f>IF($A36="","",IFERROR(SUMPRODUCT(('[1]عهد ومصروفات بدر'!$H$8:$H$5007=$A36)*('[1]عهد ومصروفات بدر'!$S$8:$S$5007=6)*'[1]عهد ومصروفات بدر'!$T$8:$T$5007),0))</f>
        <v/>
      </c>
      <c r="U36" s="24">
        <f>IF($A36="","",N(S36)-N(T36))</f>
        <v/>
      </c>
      <c r="V36" s="22" t="n">
        <v>150000</v>
      </c>
      <c r="W36" s="23">
        <f>IF($A36="","",IFERROR(SUMPRODUCT(('[1]عهد ومصروفات بدر'!$H$8:$H$5007=$A36)*('[1]عهد ومصروفات بدر'!$S$8:$S$5007=7)*'[1]عهد ومصروفات بدر'!$T$8:$T$5007),0))</f>
        <v/>
      </c>
      <c r="X36" s="24">
        <f>IF($A36="","",N(V36)-N(W36))</f>
        <v/>
      </c>
      <c r="Y36" s="22" t="n">
        <v>150000</v>
      </c>
      <c r="Z36" s="23">
        <f>IF($A36="","",IFERROR(SUMPRODUCT(('[1]عهد ومصروفات بدر'!$H$8:$H$5007=$A36)*('[1]عهد ومصروفات بدر'!$S$8:$S$5007=8)*'[1]عهد ومصروفات بدر'!$T$8:$T$5007),0))</f>
        <v/>
      </c>
      <c r="AA36" s="24">
        <f>IF($A36="","",N(Y36)-N(Z36))</f>
        <v/>
      </c>
      <c r="AB36" s="22" t="n">
        <v>150000</v>
      </c>
      <c r="AC36" s="23">
        <f>IF($A36="","",IFERROR(SUMPRODUCT(('[1]عهد ومصروفات بدر'!$H$8:$H$5007=$A36)*('[1]عهد ومصروفات بدر'!$S$8:$S$5007=9)*'[1]عهد ومصروفات بدر'!$T$8:$T$5007),0))</f>
        <v/>
      </c>
      <c r="AD36" s="24">
        <f>IF($A36="","",N(AB36)-N(AC36))</f>
        <v/>
      </c>
      <c r="AE36" s="22" t="n">
        <v>150000</v>
      </c>
      <c r="AF36" s="23">
        <f>IF($A36="","",IFERROR(SUMPRODUCT(('[1]عهد ومصروفات بدر'!$H$8:$H$5007=$A36)*('[1]عهد ومصروفات بدر'!$S$8:$S$5007=10)*'[1]عهد ومصروفات بدر'!$T$8:$T$5007),0))</f>
        <v/>
      </c>
      <c r="AG36" s="24">
        <f>IF($A36="","",N(AE36)-N(AF36))</f>
        <v/>
      </c>
      <c r="AH36" s="22" t="n">
        <v>150000</v>
      </c>
      <c r="AI36" s="23">
        <f>IF($A36="","",IFERROR(SUMPRODUCT(('[1]عهد ومصروفات بدر'!$H$8:$H$5007=$A36)*('[1]عهد ومصروفات بدر'!$S$8:$S$5007=11)*'[1]عهد ومصروفات بدر'!$T$8:$T$5007),0))</f>
        <v/>
      </c>
      <c r="AJ36" s="24">
        <f>IF($A36="","",N(AH36)-N(AI36))</f>
        <v/>
      </c>
      <c r="AK36" s="22" t="n">
        <v>150000</v>
      </c>
      <c r="AL36" s="23">
        <f>IF($A36="","",IFERROR(SUMPRODUCT(('[1]عهد ومصروفات بدر'!$H$8:$H$5007=$A36)*('[1]عهد ومصروفات بدر'!$S$8:$S$5007=12)*'[1]عهد ومصروفات بدر'!$T$8:$T$5007),0))</f>
        <v/>
      </c>
      <c r="AM36" s="24">
        <f>IF($A36="","",N(AK36)-N(AL36))</f>
        <v/>
      </c>
      <c r="AN36" s="25">
        <f>IF(A36="","",N(D36)+N(G36)+N(J36)+N(M36)+N(P36)+N(S36)+N(V36)+N(Y36)+N(AB36)+N(AE36)+N(AH36)+N(AK36))</f>
        <v/>
      </c>
      <c r="AO36" s="25">
        <f>IF(A36="","",N(E36)+N(H36)+N(K36)+N(N36)+N(Q36)+N(T36)+N(W36)+N(Z36)+N(AC36)+N(AF36)+N(AI36)+N(AL36))</f>
        <v/>
      </c>
      <c r="AP36" s="26">
        <f>IF(A36="","",N(B36)-AO36)</f>
        <v/>
      </c>
      <c r="AQ36">
        <f>IF(A36="",0,(N(F36)&lt;0)+(N(I36)&lt;0)+(N(L36)&lt;0)+(N(O36)&lt;0)+(N(R36)&lt;0)+(N(U36)&lt;0)+(N(X36)&lt;0)+(N(AA36)&lt;0)+(N(AD36)&lt;0)+(N(AG36)&lt;0)+(N(AJ36)&lt;0)+(N(AM36)&lt;0))</f>
        <v/>
      </c>
      <c r="AR36">
        <f>IF(A36="",0,MAX(0,-N(F36))+MAX(0,-N(I36))+MAX(0,-N(L36))+MAX(0,-N(O36))+MAX(0,-N(R36))+MAX(0,-N(U36))+MAX(0,-N(X36))+MAX(0,-N(AA36))+MAX(0,-N(AD36))+MAX(0,-N(AG36))+MAX(0,-N(AJ36))+MAX(0,-N(AM36)))</f>
        <v/>
      </c>
      <c r="AS36">
        <f>IF(A36="",0,IF(OR(N(AP36)&lt;0,AQ36&gt;0),1,0))</f>
        <v/>
      </c>
      <c r="AT36">
        <f>AT35+AS36</f>
        <v/>
      </c>
      <c r="AU36">
        <f>IF(A36="",-1,N(AO36)+ROW()/10000000)</f>
        <v/>
      </c>
    </row>
    <row r="37">
      <c r="A37" s="19" t="inlineStr">
        <is>
          <t>ضريبة القيمة المضافة ( أتعاب الإدارة )</t>
        </is>
      </c>
      <c r="B37" s="20" t="n">
        <v>252000.0000000001</v>
      </c>
      <c r="C37" s="21">
        <f>IF(A37="","",N(B37)/12)</f>
        <v/>
      </c>
      <c r="D37" s="22" t="n">
        <v>21000</v>
      </c>
      <c r="E37" s="23">
        <f>IF($A37="","",IFERROR(SUMPRODUCT(('[1]عهد ومصروفات بدر'!$H$8:$H$5007=$A37)*('[1]عهد ومصروفات بدر'!$S$8:$S$5007=1)*'[1]عهد ومصروفات بدر'!$T$8:$T$5007),0))</f>
        <v/>
      </c>
      <c r="F37" s="24">
        <f>IF($A37="","",N(D37)-N(E37))</f>
        <v/>
      </c>
      <c r="G37" s="22" t="n">
        <v>21000</v>
      </c>
      <c r="H37" s="23">
        <f>IF($A37="","",IFERROR(SUMPRODUCT(('[1]عهد ومصروفات بدر'!$H$8:$H$5007=$A37)*('[1]عهد ومصروفات بدر'!$S$8:$S$5007=2)*'[1]عهد ومصروفات بدر'!$T$8:$T$5007),0))</f>
        <v/>
      </c>
      <c r="I37" s="24">
        <f>IF($A37="","",N(G37)-N(H37))</f>
        <v/>
      </c>
      <c r="J37" s="22" t="n">
        <v>21000</v>
      </c>
      <c r="K37" s="23">
        <f>IF($A37="","",IFERROR(SUMPRODUCT(('[1]عهد ومصروفات بدر'!$H$8:$H$5007=$A37)*('[1]عهد ومصروفات بدر'!$S$8:$S$5007=3)*'[1]عهد ومصروفات بدر'!$T$8:$T$5007),0))</f>
        <v/>
      </c>
      <c r="L37" s="24">
        <f>IF($A37="","",N(J37)-N(K37))</f>
        <v/>
      </c>
      <c r="M37" s="22" t="n">
        <v>21000</v>
      </c>
      <c r="N37" s="23">
        <f>IF($A37="","",IFERROR(SUMPRODUCT(('[1]عهد ومصروفات بدر'!$H$8:$H$5007=$A37)*('[1]عهد ومصروفات بدر'!$S$8:$S$5007=4)*'[1]عهد ومصروفات بدر'!$T$8:$T$5007),0))</f>
        <v/>
      </c>
      <c r="O37" s="24">
        <f>IF($A37="","",N(M37)-N(N37))</f>
        <v/>
      </c>
      <c r="P37" s="22" t="n">
        <v>21000</v>
      </c>
      <c r="Q37" s="23">
        <f>IF($A37="","",IFERROR(SUMPRODUCT(('[1]عهد ومصروفات بدر'!$H$8:$H$5007=$A37)*('[1]عهد ومصروفات بدر'!$S$8:$S$5007=5)*'[1]عهد ومصروفات بدر'!$T$8:$T$5007),0))</f>
        <v/>
      </c>
      <c r="R37" s="24">
        <f>IF($A37="","",N(P37)-N(Q37))</f>
        <v/>
      </c>
      <c r="S37" s="22" t="n">
        <v>21000</v>
      </c>
      <c r="T37" s="23">
        <f>IF($A37="","",IFERROR(SUMPRODUCT(('[1]عهد ومصروفات بدر'!$H$8:$H$5007=$A37)*('[1]عهد ومصروفات بدر'!$S$8:$S$5007=6)*'[1]عهد ومصروفات بدر'!$T$8:$T$5007),0))</f>
        <v/>
      </c>
      <c r="U37" s="24">
        <f>IF($A37="","",N(S37)-N(T37))</f>
        <v/>
      </c>
      <c r="V37" s="22" t="n">
        <v>21000</v>
      </c>
      <c r="W37" s="23">
        <f>IF($A37="","",IFERROR(SUMPRODUCT(('[1]عهد ومصروفات بدر'!$H$8:$H$5007=$A37)*('[1]عهد ومصروفات بدر'!$S$8:$S$5007=7)*'[1]عهد ومصروفات بدر'!$T$8:$T$5007),0))</f>
        <v/>
      </c>
      <c r="X37" s="24">
        <f>IF($A37="","",N(V37)-N(W37))</f>
        <v/>
      </c>
      <c r="Y37" s="22" t="n">
        <v>21000</v>
      </c>
      <c r="Z37" s="23">
        <f>IF($A37="","",IFERROR(SUMPRODUCT(('[1]عهد ومصروفات بدر'!$H$8:$H$5007=$A37)*('[1]عهد ومصروفات بدر'!$S$8:$S$5007=8)*'[1]عهد ومصروفات بدر'!$T$8:$T$5007),0))</f>
        <v/>
      </c>
      <c r="AA37" s="24">
        <f>IF($A37="","",N(Y37)-N(Z37))</f>
        <v/>
      </c>
      <c r="AB37" s="22" t="n">
        <v>21000</v>
      </c>
      <c r="AC37" s="23">
        <f>IF($A37="","",IFERROR(SUMPRODUCT(('[1]عهد ومصروفات بدر'!$H$8:$H$5007=$A37)*('[1]عهد ومصروفات بدر'!$S$8:$S$5007=9)*'[1]عهد ومصروفات بدر'!$T$8:$T$5007),0))</f>
        <v/>
      </c>
      <c r="AD37" s="24">
        <f>IF($A37="","",N(AB37)-N(AC37))</f>
        <v/>
      </c>
      <c r="AE37" s="22" t="n">
        <v>21000</v>
      </c>
      <c r="AF37" s="23">
        <f>IF($A37="","",IFERROR(SUMPRODUCT(('[1]عهد ومصروفات بدر'!$H$8:$H$5007=$A37)*('[1]عهد ومصروفات بدر'!$S$8:$S$5007=10)*'[1]عهد ومصروفات بدر'!$T$8:$T$5007),0))</f>
        <v/>
      </c>
      <c r="AG37" s="24">
        <f>IF($A37="","",N(AE37)-N(AF37))</f>
        <v/>
      </c>
      <c r="AH37" s="22" t="n">
        <v>21000</v>
      </c>
      <c r="AI37" s="23">
        <f>IF($A37="","",IFERROR(SUMPRODUCT(('[1]عهد ومصروفات بدر'!$H$8:$H$5007=$A37)*('[1]عهد ومصروفات بدر'!$S$8:$S$5007=11)*'[1]عهد ومصروفات بدر'!$T$8:$T$5007),0))</f>
        <v/>
      </c>
      <c r="AJ37" s="24">
        <f>IF($A37="","",N(AH37)-N(AI37))</f>
        <v/>
      </c>
      <c r="AK37" s="22" t="n">
        <v>21000</v>
      </c>
      <c r="AL37" s="23">
        <f>IF($A37="","",IFERROR(SUMPRODUCT(('[1]عهد ومصروفات بدر'!$H$8:$H$5007=$A37)*('[1]عهد ومصروفات بدر'!$S$8:$S$5007=12)*'[1]عهد ومصروفات بدر'!$T$8:$T$5007),0))</f>
        <v/>
      </c>
      <c r="AM37" s="24">
        <f>IF($A37="","",N(AK37)-N(AL37))</f>
        <v/>
      </c>
      <c r="AN37" s="25">
        <f>IF(A37="","",N(D37)+N(G37)+N(J37)+N(M37)+N(P37)+N(S37)+N(V37)+N(Y37)+N(AB37)+N(AE37)+N(AH37)+N(AK37))</f>
        <v/>
      </c>
      <c r="AO37" s="25">
        <f>IF(A37="","",N(E37)+N(H37)+N(K37)+N(N37)+N(Q37)+N(T37)+N(W37)+N(Z37)+N(AC37)+N(AF37)+N(AI37)+N(AL37))</f>
        <v/>
      </c>
      <c r="AP37" s="26">
        <f>IF(A37="","",N(B37)-AO37)</f>
        <v/>
      </c>
      <c r="AQ37">
        <f>IF(A37="",0,(N(F37)&lt;0)+(N(I37)&lt;0)+(N(L37)&lt;0)+(N(O37)&lt;0)+(N(R37)&lt;0)+(N(U37)&lt;0)+(N(X37)&lt;0)+(N(AA37)&lt;0)+(N(AD37)&lt;0)+(N(AG37)&lt;0)+(N(AJ37)&lt;0)+(N(AM37)&lt;0))</f>
        <v/>
      </c>
      <c r="AR37">
        <f>IF(A37="",0,MAX(0,-N(F37))+MAX(0,-N(I37))+MAX(0,-N(L37))+MAX(0,-N(O37))+MAX(0,-N(R37))+MAX(0,-N(U37))+MAX(0,-N(X37))+MAX(0,-N(AA37))+MAX(0,-N(AD37))+MAX(0,-N(AG37))+MAX(0,-N(AJ37))+MAX(0,-N(AM37)))</f>
        <v/>
      </c>
      <c r="AS37">
        <f>IF(A37="",0,IF(OR(N(AP37)&lt;0,AQ37&gt;0),1,0))</f>
        <v/>
      </c>
      <c r="AT37">
        <f>AT36+AS37</f>
        <v/>
      </c>
      <c r="AU37">
        <f>IF(A37="",-1,N(AO37)+ROW()/10000000)</f>
        <v/>
      </c>
    </row>
    <row r="38">
      <c r="A38" s="19" t="inlineStr">
        <is>
          <t>أصول ثابتة وتجهيزات</t>
        </is>
      </c>
      <c r="B38" s="20" t="n">
        <v>0</v>
      </c>
      <c r="C38" s="21">
        <f>IF(A38="","",N(B38)/12)</f>
        <v/>
      </c>
      <c r="D38" s="22" t="n">
        <v>0</v>
      </c>
      <c r="E38" s="23">
        <f>IF($A38="","",IFERROR(SUMPRODUCT(('[1]عهد ومصروفات بدر'!$H$8:$H$5007=$A38)*('[1]عهد ومصروفات بدر'!$S$8:$S$5007=1)*'[1]عهد ومصروفات بدر'!$T$8:$T$5007),0))</f>
        <v/>
      </c>
      <c r="F38" s="24">
        <f>IF($A38="","",N(D38)-N(E38))</f>
        <v/>
      </c>
      <c r="G38" s="22" t="n">
        <v>0</v>
      </c>
      <c r="H38" s="23">
        <f>IF($A38="","",IFERROR(SUMPRODUCT(('[1]عهد ومصروفات بدر'!$H$8:$H$5007=$A38)*('[1]عهد ومصروفات بدر'!$S$8:$S$5007=2)*'[1]عهد ومصروفات بدر'!$T$8:$T$5007),0))</f>
        <v/>
      </c>
      <c r="I38" s="24">
        <f>IF($A38="","",N(G38)-N(H38))</f>
        <v/>
      </c>
      <c r="J38" s="22" t="n">
        <v>0</v>
      </c>
      <c r="K38" s="23">
        <f>IF($A38="","",IFERROR(SUMPRODUCT(('[1]عهد ومصروفات بدر'!$H$8:$H$5007=$A38)*('[1]عهد ومصروفات بدر'!$S$8:$S$5007=3)*'[1]عهد ومصروفات بدر'!$T$8:$T$5007),0))</f>
        <v/>
      </c>
      <c r="L38" s="24">
        <f>IF($A38="","",N(J38)-N(K38))</f>
        <v/>
      </c>
      <c r="M38" s="22" t="n">
        <v>0</v>
      </c>
      <c r="N38" s="23">
        <f>IF($A38="","",IFERROR(SUMPRODUCT(('[1]عهد ومصروفات بدر'!$H$8:$H$5007=$A38)*('[1]عهد ومصروفات بدر'!$S$8:$S$5007=4)*'[1]عهد ومصروفات بدر'!$T$8:$T$5007),0))</f>
        <v/>
      </c>
      <c r="O38" s="24">
        <f>IF($A38="","",N(M38)-N(N38))</f>
        <v/>
      </c>
      <c r="P38" s="22" t="n">
        <v>0</v>
      </c>
      <c r="Q38" s="23">
        <f>IF($A38="","",IFERROR(SUMPRODUCT(('[1]عهد ومصروفات بدر'!$H$8:$H$5007=$A38)*('[1]عهد ومصروفات بدر'!$S$8:$S$5007=5)*'[1]عهد ومصروفات بدر'!$T$8:$T$5007),0))</f>
        <v/>
      </c>
      <c r="R38" s="24">
        <f>IF($A38="","",N(P38)-N(Q38))</f>
        <v/>
      </c>
      <c r="S38" s="22" t="n">
        <v>0</v>
      </c>
      <c r="T38" s="23">
        <f>IF($A38="","",IFERROR(SUMPRODUCT(('[1]عهد ومصروفات بدر'!$H$8:$H$5007=$A38)*('[1]عهد ومصروفات بدر'!$S$8:$S$5007=6)*'[1]عهد ومصروفات بدر'!$T$8:$T$5007),0))</f>
        <v/>
      </c>
      <c r="U38" s="24">
        <f>IF($A38="","",N(S38)-N(T38))</f>
        <v/>
      </c>
      <c r="V38" s="22" t="n">
        <v>0</v>
      </c>
      <c r="W38" s="23">
        <f>IF($A38="","",IFERROR(SUMPRODUCT(('[1]عهد ومصروفات بدر'!$H$8:$H$5007=$A38)*('[1]عهد ومصروفات بدر'!$S$8:$S$5007=7)*'[1]عهد ومصروفات بدر'!$T$8:$T$5007),0))</f>
        <v/>
      </c>
      <c r="X38" s="24">
        <f>IF($A38="","",N(V38)-N(W38))</f>
        <v/>
      </c>
      <c r="Y38" s="22" t="n">
        <v>0</v>
      </c>
      <c r="Z38" s="23">
        <f>IF($A38="","",IFERROR(SUMPRODUCT(('[1]عهد ومصروفات بدر'!$H$8:$H$5007=$A38)*('[1]عهد ومصروفات بدر'!$S$8:$S$5007=8)*'[1]عهد ومصروفات بدر'!$T$8:$T$5007),0))</f>
        <v/>
      </c>
      <c r="AA38" s="24">
        <f>IF($A38="","",N(Y38)-N(Z38))</f>
        <v/>
      </c>
      <c r="AB38" s="22" t="n">
        <v>0</v>
      </c>
      <c r="AC38" s="23">
        <f>IF($A38="","",IFERROR(SUMPRODUCT(('[1]عهد ومصروفات بدر'!$H$8:$H$5007=$A38)*('[1]عهد ومصروفات بدر'!$S$8:$S$5007=9)*'[1]عهد ومصروفات بدر'!$T$8:$T$5007),0))</f>
        <v/>
      </c>
      <c r="AD38" s="24">
        <f>IF($A38="","",N(AB38)-N(AC38))</f>
        <v/>
      </c>
      <c r="AE38" s="22" t="n">
        <v>0</v>
      </c>
      <c r="AF38" s="23">
        <f>IF($A38="","",IFERROR(SUMPRODUCT(('[1]عهد ومصروفات بدر'!$H$8:$H$5007=$A38)*('[1]عهد ومصروفات بدر'!$S$8:$S$5007=10)*'[1]عهد ومصروفات بدر'!$T$8:$T$5007),0))</f>
        <v/>
      </c>
      <c r="AG38" s="24">
        <f>IF($A38="","",N(AE38)-N(AF38))</f>
        <v/>
      </c>
      <c r="AH38" s="22" t="n">
        <v>0</v>
      </c>
      <c r="AI38" s="23">
        <f>IF($A38="","",IFERROR(SUMPRODUCT(('[1]عهد ومصروفات بدر'!$H$8:$H$5007=$A38)*('[1]عهد ومصروفات بدر'!$S$8:$S$5007=11)*'[1]عهد ومصروفات بدر'!$T$8:$T$5007),0))</f>
        <v/>
      </c>
      <c r="AJ38" s="24">
        <f>IF($A38="","",N(AH38)-N(AI38))</f>
        <v/>
      </c>
      <c r="AK38" s="22" t="n">
        <v>0</v>
      </c>
      <c r="AL38" s="23">
        <f>IF($A38="","",IFERROR(SUMPRODUCT(('[1]عهد ومصروفات بدر'!$H$8:$H$5007=$A38)*('[1]عهد ومصروفات بدر'!$S$8:$S$5007=12)*'[1]عهد ومصروفات بدر'!$T$8:$T$5007),0))</f>
        <v/>
      </c>
      <c r="AM38" s="24">
        <f>IF($A38="","",N(AK38)-N(AL38))</f>
        <v/>
      </c>
      <c r="AN38" s="25">
        <f>IF(A38="","",N(D38)+N(G38)+N(J38)+N(M38)+N(P38)+N(S38)+N(V38)+N(Y38)+N(AB38)+N(AE38)+N(AH38)+N(AK38))</f>
        <v/>
      </c>
      <c r="AO38" s="25">
        <f>IF(A38="","",N(E38)+N(H38)+N(K38)+N(N38)+N(Q38)+N(T38)+N(W38)+N(Z38)+N(AC38)+N(AF38)+N(AI38)+N(AL38))</f>
        <v/>
      </c>
      <c r="AP38" s="26">
        <f>IF(A38="","",N(B38)-AO38)</f>
        <v/>
      </c>
      <c r="AQ38">
        <f>IF(A38="",0,(N(F38)&lt;0)+(N(I38)&lt;0)+(N(L38)&lt;0)+(N(O38)&lt;0)+(N(R38)&lt;0)+(N(U38)&lt;0)+(N(X38)&lt;0)+(N(AA38)&lt;0)+(N(AD38)&lt;0)+(N(AG38)&lt;0)+(N(AJ38)&lt;0)+(N(AM38)&lt;0))</f>
        <v/>
      </c>
      <c r="AR38">
        <f>IF(A38="",0,MAX(0,-N(F38))+MAX(0,-N(I38))+MAX(0,-N(L38))+MAX(0,-N(O38))+MAX(0,-N(R38))+MAX(0,-N(U38))+MAX(0,-N(X38))+MAX(0,-N(AA38))+MAX(0,-N(AD38))+MAX(0,-N(AG38))+MAX(0,-N(AJ38))+MAX(0,-N(AM38)))</f>
        <v/>
      </c>
      <c r="AS38">
        <f>IF(A38="",0,IF(OR(N(AP38)&lt;0,AQ38&gt;0),1,0))</f>
        <v/>
      </c>
      <c r="AT38">
        <f>AT37+AS38</f>
        <v/>
      </c>
      <c r="AU38">
        <f>IF(A38="",-1,N(AO38)+ROW()/10000000)</f>
        <v/>
      </c>
    </row>
    <row r="39">
      <c r="A39" s="19" t="inlineStr">
        <is>
          <t>تكلفة الاعتماد الدولى والمراجعة الخارجية</t>
        </is>
      </c>
      <c r="B39" s="20" t="n">
        <v>0</v>
      </c>
      <c r="C39" s="21">
        <f>IF(A39="","",N(B39)/12)</f>
        <v/>
      </c>
      <c r="D39" s="22" t="n">
        <v>0</v>
      </c>
      <c r="E39" s="23">
        <f>IF($A39="","",IFERROR(SUMPRODUCT(('[1]عهد ومصروفات بدر'!$H$8:$H$5007=$A39)*('[1]عهد ومصروفات بدر'!$S$8:$S$5007=1)*'[1]عهد ومصروفات بدر'!$T$8:$T$5007),0))</f>
        <v/>
      </c>
      <c r="F39" s="24">
        <f>IF($A39="","",N(D39)-N(E39))</f>
        <v/>
      </c>
      <c r="G39" s="22" t="n">
        <v>0</v>
      </c>
      <c r="H39" s="23">
        <f>IF($A39="","",IFERROR(SUMPRODUCT(('[1]عهد ومصروفات بدر'!$H$8:$H$5007=$A39)*('[1]عهد ومصروفات بدر'!$S$8:$S$5007=2)*'[1]عهد ومصروفات بدر'!$T$8:$T$5007),0))</f>
        <v/>
      </c>
      <c r="I39" s="24">
        <f>IF($A39="","",N(G39)-N(H39))</f>
        <v/>
      </c>
      <c r="J39" s="22" t="n">
        <v>0</v>
      </c>
      <c r="K39" s="23">
        <f>IF($A39="","",IFERROR(SUMPRODUCT(('[1]عهد ومصروفات بدر'!$H$8:$H$5007=$A39)*('[1]عهد ومصروفات بدر'!$S$8:$S$5007=3)*'[1]عهد ومصروفات بدر'!$T$8:$T$5007),0))</f>
        <v/>
      </c>
      <c r="L39" s="24">
        <f>IF($A39="","",N(J39)-N(K39))</f>
        <v/>
      </c>
      <c r="M39" s="22" t="n">
        <v>0</v>
      </c>
      <c r="N39" s="23">
        <f>IF($A39="","",IFERROR(SUMPRODUCT(('[1]عهد ومصروفات بدر'!$H$8:$H$5007=$A39)*('[1]عهد ومصروفات بدر'!$S$8:$S$5007=4)*'[1]عهد ومصروفات بدر'!$T$8:$T$5007),0))</f>
        <v/>
      </c>
      <c r="O39" s="24">
        <f>IF($A39="","",N(M39)-N(N39))</f>
        <v/>
      </c>
      <c r="P39" s="22" t="n">
        <v>0</v>
      </c>
      <c r="Q39" s="23">
        <f>IF($A39="","",IFERROR(SUMPRODUCT(('[1]عهد ومصروفات بدر'!$H$8:$H$5007=$A39)*('[1]عهد ومصروفات بدر'!$S$8:$S$5007=5)*'[1]عهد ومصروفات بدر'!$T$8:$T$5007),0))</f>
        <v/>
      </c>
      <c r="R39" s="24">
        <f>IF($A39="","",N(P39)-N(Q39))</f>
        <v/>
      </c>
      <c r="S39" s="22" t="n">
        <v>0</v>
      </c>
      <c r="T39" s="23">
        <f>IF($A39="","",IFERROR(SUMPRODUCT(('[1]عهد ومصروفات بدر'!$H$8:$H$5007=$A39)*('[1]عهد ومصروفات بدر'!$S$8:$S$5007=6)*'[1]عهد ومصروفات بدر'!$T$8:$T$5007),0))</f>
        <v/>
      </c>
      <c r="U39" s="24">
        <f>IF($A39="","",N(S39)-N(T39))</f>
        <v/>
      </c>
      <c r="V39" s="22" t="n">
        <v>0</v>
      </c>
      <c r="W39" s="23">
        <f>IF($A39="","",IFERROR(SUMPRODUCT(('[1]عهد ومصروفات بدر'!$H$8:$H$5007=$A39)*('[1]عهد ومصروفات بدر'!$S$8:$S$5007=7)*'[1]عهد ومصروفات بدر'!$T$8:$T$5007),0))</f>
        <v/>
      </c>
      <c r="X39" s="24">
        <f>IF($A39="","",N(V39)-N(W39))</f>
        <v/>
      </c>
      <c r="Y39" s="22" t="n">
        <v>0</v>
      </c>
      <c r="Z39" s="23">
        <f>IF($A39="","",IFERROR(SUMPRODUCT(('[1]عهد ومصروفات بدر'!$H$8:$H$5007=$A39)*('[1]عهد ومصروفات بدر'!$S$8:$S$5007=8)*'[1]عهد ومصروفات بدر'!$T$8:$T$5007),0))</f>
        <v/>
      </c>
      <c r="AA39" s="24">
        <f>IF($A39="","",N(Y39)-N(Z39))</f>
        <v/>
      </c>
      <c r="AB39" s="22" t="n">
        <v>0</v>
      </c>
      <c r="AC39" s="23">
        <f>IF($A39="","",IFERROR(SUMPRODUCT(('[1]عهد ومصروفات بدر'!$H$8:$H$5007=$A39)*('[1]عهد ومصروفات بدر'!$S$8:$S$5007=9)*'[1]عهد ومصروفات بدر'!$T$8:$T$5007),0))</f>
        <v/>
      </c>
      <c r="AD39" s="24">
        <f>IF($A39="","",N(AB39)-N(AC39))</f>
        <v/>
      </c>
      <c r="AE39" s="22" t="n">
        <v>0</v>
      </c>
      <c r="AF39" s="23">
        <f>IF($A39="","",IFERROR(SUMPRODUCT(('[1]عهد ومصروفات بدر'!$H$8:$H$5007=$A39)*('[1]عهد ومصروفات بدر'!$S$8:$S$5007=10)*'[1]عهد ومصروفات بدر'!$T$8:$T$5007),0))</f>
        <v/>
      </c>
      <c r="AG39" s="24">
        <f>IF($A39="","",N(AE39)-N(AF39))</f>
        <v/>
      </c>
      <c r="AH39" s="22" t="n">
        <v>0</v>
      </c>
      <c r="AI39" s="23">
        <f>IF($A39="","",IFERROR(SUMPRODUCT(('[1]عهد ومصروفات بدر'!$H$8:$H$5007=$A39)*('[1]عهد ومصروفات بدر'!$S$8:$S$5007=11)*'[1]عهد ومصروفات بدر'!$T$8:$T$5007),0))</f>
        <v/>
      </c>
      <c r="AJ39" s="24">
        <f>IF($A39="","",N(AH39)-N(AI39))</f>
        <v/>
      </c>
      <c r="AK39" s="22" t="n">
        <v>0</v>
      </c>
      <c r="AL39" s="23">
        <f>IF($A39="","",IFERROR(SUMPRODUCT(('[1]عهد ومصروفات بدر'!$H$8:$H$5007=$A39)*('[1]عهد ومصروفات بدر'!$S$8:$S$5007=12)*'[1]عهد ومصروفات بدر'!$T$8:$T$5007),0))</f>
        <v/>
      </c>
      <c r="AM39" s="24">
        <f>IF($A39="","",N(AK39)-N(AL39))</f>
        <v/>
      </c>
      <c r="AN39" s="25">
        <f>IF(A39="","",N(D39)+N(G39)+N(J39)+N(M39)+N(P39)+N(S39)+N(V39)+N(Y39)+N(AB39)+N(AE39)+N(AH39)+N(AK39))</f>
        <v/>
      </c>
      <c r="AO39" s="25">
        <f>IF(A39="","",N(E39)+N(H39)+N(K39)+N(N39)+N(Q39)+N(T39)+N(W39)+N(Z39)+N(AC39)+N(AF39)+N(AI39)+N(AL39))</f>
        <v/>
      </c>
      <c r="AP39" s="26">
        <f>IF(A39="","",N(B39)-AO39)</f>
        <v/>
      </c>
      <c r="AQ39">
        <f>IF(A39="",0,(N(F39)&lt;0)+(N(I39)&lt;0)+(N(L39)&lt;0)+(N(O39)&lt;0)+(N(R39)&lt;0)+(N(U39)&lt;0)+(N(X39)&lt;0)+(N(AA39)&lt;0)+(N(AD39)&lt;0)+(N(AG39)&lt;0)+(N(AJ39)&lt;0)+(N(AM39)&lt;0))</f>
        <v/>
      </c>
      <c r="AR39">
        <f>IF(A39="",0,MAX(0,-N(F39))+MAX(0,-N(I39))+MAX(0,-N(L39))+MAX(0,-N(O39))+MAX(0,-N(R39))+MAX(0,-N(U39))+MAX(0,-N(X39))+MAX(0,-N(AA39))+MAX(0,-N(AD39))+MAX(0,-N(AG39))+MAX(0,-N(AJ39))+MAX(0,-N(AM39)))</f>
        <v/>
      </c>
      <c r="AS39">
        <f>IF(A39="",0,IF(OR(N(AP39)&lt;0,AQ39&gt;0),1,0))</f>
        <v/>
      </c>
      <c r="AT39">
        <f>AT38+AS39</f>
        <v/>
      </c>
      <c r="AU39">
        <f>IF(A39="",-1,N(AO39)+ROW()/10000000)</f>
        <v/>
      </c>
    </row>
    <row r="40">
      <c r="A40" s="19" t="n"/>
      <c r="B40" s="20" t="n"/>
      <c r="C40" s="21">
        <f>IF(A40="","",N(B40)/12)</f>
        <v/>
      </c>
      <c r="D40" s="22" t="n"/>
      <c r="E40" s="23">
        <f>IF($A40="","",IFERROR(SUMPRODUCT(('[1]عهد ومصروفات بدر'!$H$8:$H$5007=$A40)*('[1]عهد ومصروفات بدر'!$S$8:$S$5007=1)*'[1]عهد ومصروفات بدر'!$T$8:$T$5007),0))</f>
        <v/>
      </c>
      <c r="F40" s="24">
        <f>IF($A40="","",N(D40)-N(E40))</f>
        <v/>
      </c>
      <c r="G40" s="22" t="n"/>
      <c r="H40" s="23">
        <f>IF($A40="","",IFERROR(SUMPRODUCT(('[1]عهد ومصروفات بدر'!$H$8:$H$5007=$A40)*('[1]عهد ومصروفات بدر'!$S$8:$S$5007=2)*'[1]عهد ومصروفات بدر'!$T$8:$T$5007),0))</f>
        <v/>
      </c>
      <c r="I40" s="24">
        <f>IF($A40="","",N(G40)-N(H40))</f>
        <v/>
      </c>
      <c r="J40" s="22" t="n"/>
      <c r="K40" s="23">
        <f>IF($A40="","",IFERROR(SUMPRODUCT(('[1]عهد ومصروفات بدر'!$H$8:$H$5007=$A40)*('[1]عهد ومصروفات بدر'!$S$8:$S$5007=3)*'[1]عهد ومصروفات بدر'!$T$8:$T$5007),0))</f>
        <v/>
      </c>
      <c r="L40" s="24">
        <f>IF($A40="","",N(J40)-N(K40))</f>
        <v/>
      </c>
      <c r="M40" s="22" t="n"/>
      <c r="N40" s="23">
        <f>IF($A40="","",IFERROR(SUMPRODUCT(('[1]عهد ومصروفات بدر'!$H$8:$H$5007=$A40)*('[1]عهد ومصروفات بدر'!$S$8:$S$5007=4)*'[1]عهد ومصروفات بدر'!$T$8:$T$5007),0))</f>
        <v/>
      </c>
      <c r="O40" s="24">
        <f>IF($A40="","",N(M40)-N(N40))</f>
        <v/>
      </c>
      <c r="P40" s="22" t="n"/>
      <c r="Q40" s="23">
        <f>IF($A40="","",IFERROR(SUMPRODUCT(('[1]عهد ومصروفات بدر'!$H$8:$H$5007=$A40)*('[1]عهد ومصروفات بدر'!$S$8:$S$5007=5)*'[1]عهد ومصروفات بدر'!$T$8:$T$5007),0))</f>
        <v/>
      </c>
      <c r="R40" s="24">
        <f>IF($A40="","",N(P40)-N(Q40))</f>
        <v/>
      </c>
      <c r="S40" s="22" t="n"/>
      <c r="T40" s="23">
        <f>IF($A40="","",IFERROR(SUMPRODUCT(('[1]عهد ومصروفات بدر'!$H$8:$H$5007=$A40)*('[1]عهد ومصروفات بدر'!$S$8:$S$5007=6)*'[1]عهد ومصروفات بدر'!$T$8:$T$5007),0))</f>
        <v/>
      </c>
      <c r="U40" s="24">
        <f>IF($A40="","",N(S40)-N(T40))</f>
        <v/>
      </c>
      <c r="V40" s="22" t="n"/>
      <c r="W40" s="23">
        <f>IF($A40="","",IFERROR(SUMPRODUCT(('[1]عهد ومصروفات بدر'!$H$8:$H$5007=$A40)*('[1]عهد ومصروفات بدر'!$S$8:$S$5007=7)*'[1]عهد ومصروفات بدر'!$T$8:$T$5007),0))</f>
        <v/>
      </c>
      <c r="X40" s="24">
        <f>IF($A40="","",N(V40)-N(W40))</f>
        <v/>
      </c>
      <c r="Y40" s="22" t="n"/>
      <c r="Z40" s="23">
        <f>IF($A40="","",IFERROR(SUMPRODUCT(('[1]عهد ومصروفات بدر'!$H$8:$H$5007=$A40)*('[1]عهد ومصروفات بدر'!$S$8:$S$5007=8)*'[1]عهد ومصروفات بدر'!$T$8:$T$5007),0))</f>
        <v/>
      </c>
      <c r="AA40" s="24">
        <f>IF($A40="","",N(Y40)-N(Z40))</f>
        <v/>
      </c>
      <c r="AB40" s="22" t="n"/>
      <c r="AC40" s="23">
        <f>IF($A40="","",IFERROR(SUMPRODUCT(('[1]عهد ومصروفات بدر'!$H$8:$H$5007=$A40)*('[1]عهد ومصروفات بدر'!$S$8:$S$5007=9)*'[1]عهد ومصروفات بدر'!$T$8:$T$5007),0))</f>
        <v/>
      </c>
      <c r="AD40" s="24">
        <f>IF($A40="","",N(AB40)-N(AC40))</f>
        <v/>
      </c>
      <c r="AE40" s="22" t="n"/>
      <c r="AF40" s="23">
        <f>IF($A40="","",IFERROR(SUMPRODUCT(('[1]عهد ومصروفات بدر'!$H$8:$H$5007=$A40)*('[1]عهد ومصروفات بدر'!$S$8:$S$5007=10)*'[1]عهد ومصروفات بدر'!$T$8:$T$5007),0))</f>
        <v/>
      </c>
      <c r="AG40" s="24">
        <f>IF($A40="","",N(AE40)-N(AF40))</f>
        <v/>
      </c>
      <c r="AH40" s="22" t="n"/>
      <c r="AI40" s="23">
        <f>IF($A40="","",IFERROR(SUMPRODUCT(('[1]عهد ومصروفات بدر'!$H$8:$H$5007=$A40)*('[1]عهد ومصروفات بدر'!$S$8:$S$5007=11)*'[1]عهد ومصروفات بدر'!$T$8:$T$5007),0))</f>
        <v/>
      </c>
      <c r="AJ40" s="24">
        <f>IF($A40="","",N(AH40)-N(AI40))</f>
        <v/>
      </c>
      <c r="AK40" s="22" t="n"/>
      <c r="AL40" s="23">
        <f>IF($A40="","",IFERROR(SUMPRODUCT(('[1]عهد ومصروفات بدر'!$H$8:$H$5007=$A40)*('[1]عهد ومصروفات بدر'!$S$8:$S$5007=12)*'[1]عهد ومصروفات بدر'!$T$8:$T$5007),0))</f>
        <v/>
      </c>
      <c r="AM40" s="24">
        <f>IF($A40="","",N(AK40)-N(AL40))</f>
        <v/>
      </c>
      <c r="AN40" s="25">
        <f>IF(A40="","",N(D40)+N(G40)+N(J40)+N(M40)+N(P40)+N(S40)+N(V40)+N(Y40)+N(AB40)+N(AE40)+N(AH40)+N(AK40))</f>
        <v/>
      </c>
      <c r="AO40" s="25">
        <f>IF(A40="","",N(E40)+N(H40)+N(K40)+N(N40)+N(Q40)+N(T40)+N(W40)+N(Z40)+N(AC40)+N(AF40)+N(AI40)+N(AL40))</f>
        <v/>
      </c>
      <c r="AP40" s="26">
        <f>IF(A40="","",N(B40)-AO40)</f>
        <v/>
      </c>
      <c r="AQ40">
        <f>IF(A40="",0,(N(F40)&lt;0)+(N(I40)&lt;0)+(N(L40)&lt;0)+(N(O40)&lt;0)+(N(R40)&lt;0)+(N(U40)&lt;0)+(N(X40)&lt;0)+(N(AA40)&lt;0)+(N(AD40)&lt;0)+(N(AG40)&lt;0)+(N(AJ40)&lt;0)+(N(AM40)&lt;0))</f>
        <v/>
      </c>
      <c r="AR40">
        <f>IF(A40="",0,MAX(0,-N(F40))+MAX(0,-N(I40))+MAX(0,-N(L40))+MAX(0,-N(O40))+MAX(0,-N(R40))+MAX(0,-N(U40))+MAX(0,-N(X40))+MAX(0,-N(AA40))+MAX(0,-N(AD40))+MAX(0,-N(AG40))+MAX(0,-N(AJ40))+MAX(0,-N(AM40)))</f>
        <v/>
      </c>
      <c r="AS40">
        <f>IF(A40="",0,IF(OR(N(AP40)&lt;0,AQ40&gt;0),1,0))</f>
        <v/>
      </c>
      <c r="AT40">
        <f>AT39+AS40</f>
        <v/>
      </c>
      <c r="AU40">
        <f>IF(A40="",-1,N(AO40)+ROW()/10000000)</f>
        <v/>
      </c>
    </row>
    <row r="41">
      <c r="A41" s="19" t="n"/>
      <c r="B41" s="20" t="n"/>
      <c r="C41" s="21">
        <f>IF(A41="","",N(B41)/12)</f>
        <v/>
      </c>
      <c r="D41" s="22" t="n"/>
      <c r="E41" s="23">
        <f>IF($A41="","",IFERROR(SUMPRODUCT(('[1]عهد ومصروفات بدر'!$H$8:$H$5007=$A41)*('[1]عهد ومصروفات بدر'!$S$8:$S$5007=1)*'[1]عهد ومصروفات بدر'!$T$8:$T$5007),0))</f>
        <v/>
      </c>
      <c r="F41" s="24">
        <f>IF($A41="","",N(D41)-N(E41))</f>
        <v/>
      </c>
      <c r="G41" s="22" t="n"/>
      <c r="H41" s="23">
        <f>IF($A41="","",IFERROR(SUMPRODUCT(('[1]عهد ومصروفات بدر'!$H$8:$H$5007=$A41)*('[1]عهد ومصروفات بدر'!$S$8:$S$5007=2)*'[1]عهد ومصروفات بدر'!$T$8:$T$5007),0))</f>
        <v/>
      </c>
      <c r="I41" s="24">
        <f>IF($A41="","",N(G41)-N(H41))</f>
        <v/>
      </c>
      <c r="J41" s="22" t="n"/>
      <c r="K41" s="23">
        <f>IF($A41="","",IFERROR(SUMPRODUCT(('[1]عهد ومصروفات بدر'!$H$8:$H$5007=$A41)*('[1]عهد ومصروفات بدر'!$S$8:$S$5007=3)*'[1]عهد ومصروفات بدر'!$T$8:$T$5007),0))</f>
        <v/>
      </c>
      <c r="L41" s="24">
        <f>IF($A41="","",N(J41)-N(K41))</f>
        <v/>
      </c>
      <c r="M41" s="22" t="n"/>
      <c r="N41" s="23">
        <f>IF($A41="","",IFERROR(SUMPRODUCT(('[1]عهد ومصروفات بدر'!$H$8:$H$5007=$A41)*('[1]عهد ومصروفات بدر'!$S$8:$S$5007=4)*'[1]عهد ومصروفات بدر'!$T$8:$T$5007),0))</f>
        <v/>
      </c>
      <c r="O41" s="24">
        <f>IF($A41="","",N(M41)-N(N41))</f>
        <v/>
      </c>
      <c r="P41" s="22" t="n"/>
      <c r="Q41" s="23">
        <f>IF($A41="","",IFERROR(SUMPRODUCT(('[1]عهد ومصروفات بدر'!$H$8:$H$5007=$A41)*('[1]عهد ومصروفات بدر'!$S$8:$S$5007=5)*'[1]عهد ومصروفات بدر'!$T$8:$T$5007),0))</f>
        <v/>
      </c>
      <c r="R41" s="24">
        <f>IF($A41="","",N(P41)-N(Q41))</f>
        <v/>
      </c>
      <c r="S41" s="22" t="n"/>
      <c r="T41" s="23">
        <f>IF($A41="","",IFERROR(SUMPRODUCT(('[1]عهد ومصروفات بدر'!$H$8:$H$5007=$A41)*('[1]عهد ومصروفات بدر'!$S$8:$S$5007=6)*'[1]عهد ومصروفات بدر'!$T$8:$T$5007),0))</f>
        <v/>
      </c>
      <c r="U41" s="24">
        <f>IF($A41="","",N(S41)-N(T41))</f>
        <v/>
      </c>
      <c r="V41" s="22" t="n"/>
      <c r="W41" s="23">
        <f>IF($A41="","",IFERROR(SUMPRODUCT(('[1]عهد ومصروفات بدر'!$H$8:$H$5007=$A41)*('[1]عهد ومصروفات بدر'!$S$8:$S$5007=7)*'[1]عهد ومصروفات بدر'!$T$8:$T$5007),0))</f>
        <v/>
      </c>
      <c r="X41" s="24">
        <f>IF($A41="","",N(V41)-N(W41))</f>
        <v/>
      </c>
      <c r="Y41" s="22" t="n"/>
      <c r="Z41" s="23">
        <f>IF($A41="","",IFERROR(SUMPRODUCT(('[1]عهد ومصروفات بدر'!$H$8:$H$5007=$A41)*('[1]عهد ومصروفات بدر'!$S$8:$S$5007=8)*'[1]عهد ومصروفات بدر'!$T$8:$T$5007),0))</f>
        <v/>
      </c>
      <c r="AA41" s="24">
        <f>IF($A41="","",N(Y41)-N(Z41))</f>
        <v/>
      </c>
      <c r="AB41" s="22" t="n"/>
      <c r="AC41" s="23">
        <f>IF($A41="","",IFERROR(SUMPRODUCT(('[1]عهد ومصروفات بدر'!$H$8:$H$5007=$A41)*('[1]عهد ومصروفات بدر'!$S$8:$S$5007=9)*'[1]عهد ومصروفات بدر'!$T$8:$T$5007),0))</f>
        <v/>
      </c>
      <c r="AD41" s="24">
        <f>IF($A41="","",N(AB41)-N(AC41))</f>
        <v/>
      </c>
      <c r="AE41" s="22" t="n"/>
      <c r="AF41" s="23">
        <f>IF($A41="","",IFERROR(SUMPRODUCT(('[1]عهد ومصروفات بدر'!$H$8:$H$5007=$A41)*('[1]عهد ومصروفات بدر'!$S$8:$S$5007=10)*'[1]عهد ومصروفات بدر'!$T$8:$T$5007),0))</f>
        <v/>
      </c>
      <c r="AG41" s="24">
        <f>IF($A41="","",N(AE41)-N(AF41))</f>
        <v/>
      </c>
      <c r="AH41" s="22" t="n"/>
      <c r="AI41" s="23">
        <f>IF($A41="","",IFERROR(SUMPRODUCT(('[1]عهد ومصروفات بدر'!$H$8:$H$5007=$A41)*('[1]عهد ومصروفات بدر'!$S$8:$S$5007=11)*'[1]عهد ومصروفات بدر'!$T$8:$T$5007),0))</f>
        <v/>
      </c>
      <c r="AJ41" s="24">
        <f>IF($A41="","",N(AH41)-N(AI41))</f>
        <v/>
      </c>
      <c r="AK41" s="22" t="n"/>
      <c r="AL41" s="23">
        <f>IF($A41="","",IFERROR(SUMPRODUCT(('[1]عهد ومصروفات بدر'!$H$8:$H$5007=$A41)*('[1]عهد ومصروفات بدر'!$S$8:$S$5007=12)*'[1]عهد ومصروفات بدر'!$T$8:$T$5007),0))</f>
        <v/>
      </c>
      <c r="AM41" s="24">
        <f>IF($A41="","",N(AK41)-N(AL41))</f>
        <v/>
      </c>
      <c r="AN41" s="25">
        <f>IF(A41="","",N(D41)+N(G41)+N(J41)+N(M41)+N(P41)+N(S41)+N(V41)+N(Y41)+N(AB41)+N(AE41)+N(AH41)+N(AK41))</f>
        <v/>
      </c>
      <c r="AO41" s="25">
        <f>IF(A41="","",N(E41)+N(H41)+N(K41)+N(N41)+N(Q41)+N(T41)+N(W41)+N(Z41)+N(AC41)+N(AF41)+N(AI41)+N(AL41))</f>
        <v/>
      </c>
      <c r="AP41" s="26">
        <f>IF(A41="","",N(B41)-AO41)</f>
        <v/>
      </c>
      <c r="AQ41">
        <f>IF(A41="",0,(N(F41)&lt;0)+(N(I41)&lt;0)+(N(L41)&lt;0)+(N(O41)&lt;0)+(N(R41)&lt;0)+(N(U41)&lt;0)+(N(X41)&lt;0)+(N(AA41)&lt;0)+(N(AD41)&lt;0)+(N(AG41)&lt;0)+(N(AJ41)&lt;0)+(N(AM41)&lt;0))</f>
        <v/>
      </c>
      <c r="AR41">
        <f>IF(A41="",0,MAX(0,-N(F41))+MAX(0,-N(I41))+MAX(0,-N(L41))+MAX(0,-N(O41))+MAX(0,-N(R41))+MAX(0,-N(U41))+MAX(0,-N(X41))+MAX(0,-N(AA41))+MAX(0,-N(AD41))+MAX(0,-N(AG41))+MAX(0,-N(AJ41))+MAX(0,-N(AM41)))</f>
        <v/>
      </c>
      <c r="AS41">
        <f>IF(A41="",0,IF(OR(N(AP41)&lt;0,AQ41&gt;0),1,0))</f>
        <v/>
      </c>
      <c r="AT41">
        <f>AT40+AS41</f>
        <v/>
      </c>
      <c r="AU41">
        <f>IF(A41="",-1,N(AO41)+ROW()/10000000)</f>
        <v/>
      </c>
    </row>
    <row r="42">
      <c r="A42" s="19" t="n"/>
      <c r="B42" s="20" t="n"/>
      <c r="C42" s="21">
        <f>IF(A42="","",N(B42)/12)</f>
        <v/>
      </c>
      <c r="D42" s="22" t="n"/>
      <c r="E42" s="23">
        <f>IF($A42="","",IFERROR(SUMPRODUCT(('[1]عهد ومصروفات بدر'!$H$8:$H$5007=$A42)*('[1]عهد ومصروفات بدر'!$S$8:$S$5007=1)*'[1]عهد ومصروفات بدر'!$T$8:$T$5007),0))</f>
        <v/>
      </c>
      <c r="F42" s="24">
        <f>IF($A42="","",N(D42)-N(E42))</f>
        <v/>
      </c>
      <c r="G42" s="22" t="n"/>
      <c r="H42" s="23">
        <f>IF($A42="","",IFERROR(SUMPRODUCT(('[1]عهد ومصروفات بدر'!$H$8:$H$5007=$A42)*('[1]عهد ومصروفات بدر'!$S$8:$S$5007=2)*'[1]عهد ومصروفات بدر'!$T$8:$T$5007),0))</f>
        <v/>
      </c>
      <c r="I42" s="24">
        <f>IF($A42="","",N(G42)-N(H42))</f>
        <v/>
      </c>
      <c r="J42" s="22" t="n"/>
      <c r="K42" s="23">
        <f>IF($A42="","",IFERROR(SUMPRODUCT(('[1]عهد ومصروفات بدر'!$H$8:$H$5007=$A42)*('[1]عهد ومصروفات بدر'!$S$8:$S$5007=3)*'[1]عهد ومصروفات بدر'!$T$8:$T$5007),0))</f>
        <v/>
      </c>
      <c r="L42" s="24">
        <f>IF($A42="","",N(J42)-N(K42))</f>
        <v/>
      </c>
      <c r="M42" s="22" t="n"/>
      <c r="N42" s="23">
        <f>IF($A42="","",IFERROR(SUMPRODUCT(('[1]عهد ومصروفات بدر'!$H$8:$H$5007=$A42)*('[1]عهد ومصروفات بدر'!$S$8:$S$5007=4)*'[1]عهد ومصروفات بدر'!$T$8:$T$5007),0))</f>
        <v/>
      </c>
      <c r="O42" s="24">
        <f>IF($A42="","",N(M42)-N(N42))</f>
        <v/>
      </c>
      <c r="P42" s="22" t="n"/>
      <c r="Q42" s="23">
        <f>IF($A42="","",IFERROR(SUMPRODUCT(('[1]عهد ومصروفات بدر'!$H$8:$H$5007=$A42)*('[1]عهد ومصروفات بدر'!$S$8:$S$5007=5)*'[1]عهد ومصروفات بدر'!$T$8:$T$5007),0))</f>
        <v/>
      </c>
      <c r="R42" s="24">
        <f>IF($A42="","",N(P42)-N(Q42))</f>
        <v/>
      </c>
      <c r="S42" s="22" t="n"/>
      <c r="T42" s="23">
        <f>IF($A42="","",IFERROR(SUMPRODUCT(('[1]عهد ومصروفات بدر'!$H$8:$H$5007=$A42)*('[1]عهد ومصروفات بدر'!$S$8:$S$5007=6)*'[1]عهد ومصروفات بدر'!$T$8:$T$5007),0))</f>
        <v/>
      </c>
      <c r="U42" s="24">
        <f>IF($A42="","",N(S42)-N(T42))</f>
        <v/>
      </c>
      <c r="V42" s="22" t="n"/>
      <c r="W42" s="23">
        <f>IF($A42="","",IFERROR(SUMPRODUCT(('[1]عهد ومصروفات بدر'!$H$8:$H$5007=$A42)*('[1]عهد ومصروفات بدر'!$S$8:$S$5007=7)*'[1]عهد ومصروفات بدر'!$T$8:$T$5007),0))</f>
        <v/>
      </c>
      <c r="X42" s="24">
        <f>IF($A42="","",N(V42)-N(W42))</f>
        <v/>
      </c>
      <c r="Y42" s="22" t="n"/>
      <c r="Z42" s="23">
        <f>IF($A42="","",IFERROR(SUMPRODUCT(('[1]عهد ومصروفات بدر'!$H$8:$H$5007=$A42)*('[1]عهد ومصروفات بدر'!$S$8:$S$5007=8)*'[1]عهد ومصروفات بدر'!$T$8:$T$5007),0))</f>
        <v/>
      </c>
      <c r="AA42" s="24">
        <f>IF($A42="","",N(Y42)-N(Z42))</f>
        <v/>
      </c>
      <c r="AB42" s="22" t="n"/>
      <c r="AC42" s="23">
        <f>IF($A42="","",IFERROR(SUMPRODUCT(('[1]عهد ومصروفات بدر'!$H$8:$H$5007=$A42)*('[1]عهد ومصروفات بدر'!$S$8:$S$5007=9)*'[1]عهد ومصروفات بدر'!$T$8:$T$5007),0))</f>
        <v/>
      </c>
      <c r="AD42" s="24">
        <f>IF($A42="","",N(AB42)-N(AC42))</f>
        <v/>
      </c>
      <c r="AE42" s="22" t="n"/>
      <c r="AF42" s="23">
        <f>IF($A42="","",IFERROR(SUMPRODUCT(('[1]عهد ومصروفات بدر'!$H$8:$H$5007=$A42)*('[1]عهد ومصروفات بدر'!$S$8:$S$5007=10)*'[1]عهد ومصروفات بدر'!$T$8:$T$5007),0))</f>
        <v/>
      </c>
      <c r="AG42" s="24">
        <f>IF($A42="","",N(AE42)-N(AF42))</f>
        <v/>
      </c>
      <c r="AH42" s="22" t="n"/>
      <c r="AI42" s="23">
        <f>IF($A42="","",IFERROR(SUMPRODUCT(('[1]عهد ومصروفات بدر'!$H$8:$H$5007=$A42)*('[1]عهد ومصروفات بدر'!$S$8:$S$5007=11)*'[1]عهد ومصروفات بدر'!$T$8:$T$5007),0))</f>
        <v/>
      </c>
      <c r="AJ42" s="24">
        <f>IF($A42="","",N(AH42)-N(AI42))</f>
        <v/>
      </c>
      <c r="AK42" s="22" t="n"/>
      <c r="AL42" s="23">
        <f>IF($A42="","",IFERROR(SUMPRODUCT(('[1]عهد ومصروفات بدر'!$H$8:$H$5007=$A42)*('[1]عهد ومصروفات بدر'!$S$8:$S$5007=12)*'[1]عهد ومصروفات بدر'!$T$8:$T$5007),0))</f>
        <v/>
      </c>
      <c r="AM42" s="24">
        <f>IF($A42="","",N(AK42)-N(AL42))</f>
        <v/>
      </c>
      <c r="AN42" s="25">
        <f>IF(A42="","",N(D42)+N(G42)+N(J42)+N(M42)+N(P42)+N(S42)+N(V42)+N(Y42)+N(AB42)+N(AE42)+N(AH42)+N(AK42))</f>
        <v/>
      </c>
      <c r="AO42" s="25">
        <f>IF(A42="","",N(E42)+N(H42)+N(K42)+N(N42)+N(Q42)+N(T42)+N(W42)+N(Z42)+N(AC42)+N(AF42)+N(AI42)+N(AL42))</f>
        <v/>
      </c>
      <c r="AP42" s="26">
        <f>IF(A42="","",N(B42)-AO42)</f>
        <v/>
      </c>
      <c r="AQ42">
        <f>IF(A42="",0,(N(F42)&lt;0)+(N(I42)&lt;0)+(N(L42)&lt;0)+(N(O42)&lt;0)+(N(R42)&lt;0)+(N(U42)&lt;0)+(N(X42)&lt;0)+(N(AA42)&lt;0)+(N(AD42)&lt;0)+(N(AG42)&lt;0)+(N(AJ42)&lt;0)+(N(AM42)&lt;0))</f>
        <v/>
      </c>
      <c r="AR42">
        <f>IF(A42="",0,MAX(0,-N(F42))+MAX(0,-N(I42))+MAX(0,-N(L42))+MAX(0,-N(O42))+MAX(0,-N(R42))+MAX(0,-N(U42))+MAX(0,-N(X42))+MAX(0,-N(AA42))+MAX(0,-N(AD42))+MAX(0,-N(AG42))+MAX(0,-N(AJ42))+MAX(0,-N(AM42)))</f>
        <v/>
      </c>
      <c r="AS42">
        <f>IF(A42="",0,IF(OR(N(AP42)&lt;0,AQ42&gt;0),1,0))</f>
        <v/>
      </c>
      <c r="AT42">
        <f>AT41+AS42</f>
        <v/>
      </c>
      <c r="AU42">
        <f>IF(A42="",-1,N(AO42)+ROW()/10000000)</f>
        <v/>
      </c>
    </row>
    <row r="43">
      <c r="A43" s="19" t="n"/>
      <c r="B43" s="20" t="n"/>
      <c r="C43" s="21">
        <f>IF(A43="","",N(B43)/12)</f>
        <v/>
      </c>
      <c r="D43" s="22" t="n"/>
      <c r="E43" s="23">
        <f>IF($A43="","",IFERROR(SUMPRODUCT(('[1]عهد ومصروفات بدر'!$H$8:$H$5007=$A43)*('[1]عهد ومصروفات بدر'!$S$8:$S$5007=1)*'[1]عهد ومصروفات بدر'!$T$8:$T$5007),0))</f>
        <v/>
      </c>
      <c r="F43" s="24">
        <f>IF($A43="","",N(D43)-N(E43))</f>
        <v/>
      </c>
      <c r="G43" s="22" t="n"/>
      <c r="H43" s="23">
        <f>IF($A43="","",IFERROR(SUMPRODUCT(('[1]عهد ومصروفات بدر'!$H$8:$H$5007=$A43)*('[1]عهد ومصروفات بدر'!$S$8:$S$5007=2)*'[1]عهد ومصروفات بدر'!$T$8:$T$5007),0))</f>
        <v/>
      </c>
      <c r="I43" s="24">
        <f>IF($A43="","",N(G43)-N(H43))</f>
        <v/>
      </c>
      <c r="J43" s="22" t="n"/>
      <c r="K43" s="23">
        <f>IF($A43="","",IFERROR(SUMPRODUCT(('[1]عهد ومصروفات بدر'!$H$8:$H$5007=$A43)*('[1]عهد ومصروفات بدر'!$S$8:$S$5007=3)*'[1]عهد ومصروفات بدر'!$T$8:$T$5007),0))</f>
        <v/>
      </c>
      <c r="L43" s="24">
        <f>IF($A43="","",N(J43)-N(K43))</f>
        <v/>
      </c>
      <c r="M43" s="22" t="n"/>
      <c r="N43" s="23">
        <f>IF($A43="","",IFERROR(SUMPRODUCT(('[1]عهد ومصروفات بدر'!$H$8:$H$5007=$A43)*('[1]عهد ومصروفات بدر'!$S$8:$S$5007=4)*'[1]عهد ومصروفات بدر'!$T$8:$T$5007),0))</f>
        <v/>
      </c>
      <c r="O43" s="24">
        <f>IF($A43="","",N(M43)-N(N43))</f>
        <v/>
      </c>
      <c r="P43" s="22" t="n"/>
      <c r="Q43" s="23">
        <f>IF($A43="","",IFERROR(SUMPRODUCT(('[1]عهد ومصروفات بدر'!$H$8:$H$5007=$A43)*('[1]عهد ومصروفات بدر'!$S$8:$S$5007=5)*'[1]عهد ومصروفات بدر'!$T$8:$T$5007),0))</f>
        <v/>
      </c>
      <c r="R43" s="24">
        <f>IF($A43="","",N(P43)-N(Q43))</f>
        <v/>
      </c>
      <c r="S43" s="22" t="n"/>
      <c r="T43" s="23">
        <f>IF($A43="","",IFERROR(SUMPRODUCT(('[1]عهد ومصروفات بدر'!$H$8:$H$5007=$A43)*('[1]عهد ومصروفات بدر'!$S$8:$S$5007=6)*'[1]عهد ومصروفات بدر'!$T$8:$T$5007),0))</f>
        <v/>
      </c>
      <c r="U43" s="24">
        <f>IF($A43="","",N(S43)-N(T43))</f>
        <v/>
      </c>
      <c r="V43" s="22" t="n"/>
      <c r="W43" s="23">
        <f>IF($A43="","",IFERROR(SUMPRODUCT(('[1]عهد ومصروفات بدر'!$H$8:$H$5007=$A43)*('[1]عهد ومصروفات بدر'!$S$8:$S$5007=7)*'[1]عهد ومصروفات بدر'!$T$8:$T$5007),0))</f>
        <v/>
      </c>
      <c r="X43" s="24">
        <f>IF($A43="","",N(V43)-N(W43))</f>
        <v/>
      </c>
      <c r="Y43" s="22" t="n"/>
      <c r="Z43" s="23">
        <f>IF($A43="","",IFERROR(SUMPRODUCT(('[1]عهد ومصروفات بدر'!$H$8:$H$5007=$A43)*('[1]عهد ومصروفات بدر'!$S$8:$S$5007=8)*'[1]عهد ومصروفات بدر'!$T$8:$T$5007),0))</f>
        <v/>
      </c>
      <c r="AA43" s="24">
        <f>IF($A43="","",N(Y43)-N(Z43))</f>
        <v/>
      </c>
      <c r="AB43" s="22" t="n"/>
      <c r="AC43" s="23">
        <f>IF($A43="","",IFERROR(SUMPRODUCT(('[1]عهد ومصروفات بدر'!$H$8:$H$5007=$A43)*('[1]عهد ومصروفات بدر'!$S$8:$S$5007=9)*'[1]عهد ومصروفات بدر'!$T$8:$T$5007),0))</f>
        <v/>
      </c>
      <c r="AD43" s="24">
        <f>IF($A43="","",N(AB43)-N(AC43))</f>
        <v/>
      </c>
      <c r="AE43" s="22" t="n"/>
      <c r="AF43" s="23">
        <f>IF($A43="","",IFERROR(SUMPRODUCT(('[1]عهد ومصروفات بدر'!$H$8:$H$5007=$A43)*('[1]عهد ومصروفات بدر'!$S$8:$S$5007=10)*'[1]عهد ومصروفات بدر'!$T$8:$T$5007),0))</f>
        <v/>
      </c>
      <c r="AG43" s="24">
        <f>IF($A43="","",N(AE43)-N(AF43))</f>
        <v/>
      </c>
      <c r="AH43" s="22" t="n"/>
      <c r="AI43" s="23">
        <f>IF($A43="","",IFERROR(SUMPRODUCT(('[1]عهد ومصروفات بدر'!$H$8:$H$5007=$A43)*('[1]عهد ومصروفات بدر'!$S$8:$S$5007=11)*'[1]عهد ومصروفات بدر'!$T$8:$T$5007),0))</f>
        <v/>
      </c>
      <c r="AJ43" s="24">
        <f>IF($A43="","",N(AH43)-N(AI43))</f>
        <v/>
      </c>
      <c r="AK43" s="22" t="n"/>
      <c r="AL43" s="23">
        <f>IF($A43="","",IFERROR(SUMPRODUCT(('[1]عهد ومصروفات بدر'!$H$8:$H$5007=$A43)*('[1]عهد ومصروفات بدر'!$S$8:$S$5007=12)*'[1]عهد ومصروفات بدر'!$T$8:$T$5007),0))</f>
        <v/>
      </c>
      <c r="AM43" s="24">
        <f>IF($A43="","",N(AK43)-N(AL43))</f>
        <v/>
      </c>
      <c r="AN43" s="25">
        <f>IF(A43="","",N(D43)+N(G43)+N(J43)+N(M43)+N(P43)+N(S43)+N(V43)+N(Y43)+N(AB43)+N(AE43)+N(AH43)+N(AK43))</f>
        <v/>
      </c>
      <c r="AO43" s="25">
        <f>IF(A43="","",N(E43)+N(H43)+N(K43)+N(N43)+N(Q43)+N(T43)+N(W43)+N(Z43)+N(AC43)+N(AF43)+N(AI43)+N(AL43))</f>
        <v/>
      </c>
      <c r="AP43" s="26">
        <f>IF(A43="","",N(B43)-AO43)</f>
        <v/>
      </c>
      <c r="AQ43">
        <f>IF(A43="",0,(N(F43)&lt;0)+(N(I43)&lt;0)+(N(L43)&lt;0)+(N(O43)&lt;0)+(N(R43)&lt;0)+(N(U43)&lt;0)+(N(X43)&lt;0)+(N(AA43)&lt;0)+(N(AD43)&lt;0)+(N(AG43)&lt;0)+(N(AJ43)&lt;0)+(N(AM43)&lt;0))</f>
        <v/>
      </c>
      <c r="AR43">
        <f>IF(A43="",0,MAX(0,-N(F43))+MAX(0,-N(I43))+MAX(0,-N(L43))+MAX(0,-N(O43))+MAX(0,-N(R43))+MAX(0,-N(U43))+MAX(0,-N(X43))+MAX(0,-N(AA43))+MAX(0,-N(AD43))+MAX(0,-N(AG43))+MAX(0,-N(AJ43))+MAX(0,-N(AM43)))</f>
        <v/>
      </c>
      <c r="AS43">
        <f>IF(A43="",0,IF(OR(N(AP43)&lt;0,AQ43&gt;0),1,0))</f>
        <v/>
      </c>
      <c r="AT43">
        <f>AT42+AS43</f>
        <v/>
      </c>
      <c r="AU43">
        <f>IF(A43="",-1,N(AO43)+ROW()/10000000)</f>
        <v/>
      </c>
    </row>
    <row r="44">
      <c r="A44" s="19" t="n"/>
      <c r="B44" s="20" t="n"/>
      <c r="C44" s="21">
        <f>IF(A44="","",N(B44)/12)</f>
        <v/>
      </c>
      <c r="D44" s="22" t="n"/>
      <c r="E44" s="23">
        <f>IF($A44="","",IFERROR(SUMPRODUCT(('[1]عهد ومصروفات بدر'!$H$8:$H$5007=$A44)*('[1]عهد ومصروفات بدر'!$S$8:$S$5007=1)*'[1]عهد ومصروفات بدر'!$T$8:$T$5007),0))</f>
        <v/>
      </c>
      <c r="F44" s="24">
        <f>IF($A44="","",N(D44)-N(E44))</f>
        <v/>
      </c>
      <c r="G44" s="22" t="n"/>
      <c r="H44" s="23">
        <f>IF($A44="","",IFERROR(SUMPRODUCT(('[1]عهد ومصروفات بدر'!$H$8:$H$5007=$A44)*('[1]عهد ومصروفات بدر'!$S$8:$S$5007=2)*'[1]عهد ومصروفات بدر'!$T$8:$T$5007),0))</f>
        <v/>
      </c>
      <c r="I44" s="24">
        <f>IF($A44="","",N(G44)-N(H44))</f>
        <v/>
      </c>
      <c r="J44" s="22" t="n"/>
      <c r="K44" s="23">
        <f>IF($A44="","",IFERROR(SUMPRODUCT(('[1]عهد ومصروفات بدر'!$H$8:$H$5007=$A44)*('[1]عهد ومصروفات بدر'!$S$8:$S$5007=3)*'[1]عهد ومصروفات بدر'!$T$8:$T$5007),0))</f>
        <v/>
      </c>
      <c r="L44" s="24">
        <f>IF($A44="","",N(J44)-N(K44))</f>
        <v/>
      </c>
      <c r="M44" s="22" t="n"/>
      <c r="N44" s="23">
        <f>IF($A44="","",IFERROR(SUMPRODUCT(('[1]عهد ومصروفات بدر'!$H$8:$H$5007=$A44)*('[1]عهد ومصروفات بدر'!$S$8:$S$5007=4)*'[1]عهد ومصروفات بدر'!$T$8:$T$5007),0))</f>
        <v/>
      </c>
      <c r="O44" s="24">
        <f>IF($A44="","",N(M44)-N(N44))</f>
        <v/>
      </c>
      <c r="P44" s="22" t="n"/>
      <c r="Q44" s="23">
        <f>IF($A44="","",IFERROR(SUMPRODUCT(('[1]عهد ومصروفات بدر'!$H$8:$H$5007=$A44)*('[1]عهد ومصروفات بدر'!$S$8:$S$5007=5)*'[1]عهد ومصروفات بدر'!$T$8:$T$5007),0))</f>
        <v/>
      </c>
      <c r="R44" s="24">
        <f>IF($A44="","",N(P44)-N(Q44))</f>
        <v/>
      </c>
      <c r="S44" s="22" t="n"/>
      <c r="T44" s="23">
        <f>IF($A44="","",IFERROR(SUMPRODUCT(('[1]عهد ومصروفات بدر'!$H$8:$H$5007=$A44)*('[1]عهد ومصروفات بدر'!$S$8:$S$5007=6)*'[1]عهد ومصروفات بدر'!$T$8:$T$5007),0))</f>
        <v/>
      </c>
      <c r="U44" s="24">
        <f>IF($A44="","",N(S44)-N(T44))</f>
        <v/>
      </c>
      <c r="V44" s="22" t="n"/>
      <c r="W44" s="23">
        <f>IF($A44="","",IFERROR(SUMPRODUCT(('[1]عهد ومصروفات بدر'!$H$8:$H$5007=$A44)*('[1]عهد ومصروفات بدر'!$S$8:$S$5007=7)*'[1]عهد ومصروفات بدر'!$T$8:$T$5007),0))</f>
        <v/>
      </c>
      <c r="X44" s="24">
        <f>IF($A44="","",N(V44)-N(W44))</f>
        <v/>
      </c>
      <c r="Y44" s="22" t="n"/>
      <c r="Z44" s="23">
        <f>IF($A44="","",IFERROR(SUMPRODUCT(('[1]عهد ومصروفات بدر'!$H$8:$H$5007=$A44)*('[1]عهد ومصروفات بدر'!$S$8:$S$5007=8)*'[1]عهد ومصروفات بدر'!$T$8:$T$5007),0))</f>
        <v/>
      </c>
      <c r="AA44" s="24">
        <f>IF($A44="","",N(Y44)-N(Z44))</f>
        <v/>
      </c>
      <c r="AB44" s="22" t="n"/>
      <c r="AC44" s="23">
        <f>IF($A44="","",IFERROR(SUMPRODUCT(('[1]عهد ومصروفات بدر'!$H$8:$H$5007=$A44)*('[1]عهد ومصروفات بدر'!$S$8:$S$5007=9)*'[1]عهد ومصروفات بدر'!$T$8:$T$5007),0))</f>
        <v/>
      </c>
      <c r="AD44" s="24">
        <f>IF($A44="","",N(AB44)-N(AC44))</f>
        <v/>
      </c>
      <c r="AE44" s="22" t="n"/>
      <c r="AF44" s="23">
        <f>IF($A44="","",IFERROR(SUMPRODUCT(('[1]عهد ومصروفات بدر'!$H$8:$H$5007=$A44)*('[1]عهد ومصروفات بدر'!$S$8:$S$5007=10)*'[1]عهد ومصروفات بدر'!$T$8:$T$5007),0))</f>
        <v/>
      </c>
      <c r="AG44" s="24">
        <f>IF($A44="","",N(AE44)-N(AF44))</f>
        <v/>
      </c>
      <c r="AH44" s="22" t="n"/>
      <c r="AI44" s="23">
        <f>IF($A44="","",IFERROR(SUMPRODUCT(('[1]عهد ومصروفات بدر'!$H$8:$H$5007=$A44)*('[1]عهد ومصروفات بدر'!$S$8:$S$5007=11)*'[1]عهد ومصروفات بدر'!$T$8:$T$5007),0))</f>
        <v/>
      </c>
      <c r="AJ44" s="24">
        <f>IF($A44="","",N(AH44)-N(AI44))</f>
        <v/>
      </c>
      <c r="AK44" s="22" t="n"/>
      <c r="AL44" s="23">
        <f>IF($A44="","",IFERROR(SUMPRODUCT(('[1]عهد ومصروفات بدر'!$H$8:$H$5007=$A44)*('[1]عهد ومصروفات بدر'!$S$8:$S$5007=12)*'[1]عهد ومصروفات بدر'!$T$8:$T$5007),0))</f>
        <v/>
      </c>
      <c r="AM44" s="24">
        <f>IF($A44="","",N(AK44)-N(AL44))</f>
        <v/>
      </c>
      <c r="AN44" s="25">
        <f>IF(A44="","",N(D44)+N(G44)+N(J44)+N(M44)+N(P44)+N(S44)+N(V44)+N(Y44)+N(AB44)+N(AE44)+N(AH44)+N(AK44))</f>
        <v/>
      </c>
      <c r="AO44" s="25">
        <f>IF(A44="","",N(E44)+N(H44)+N(K44)+N(N44)+N(Q44)+N(T44)+N(W44)+N(Z44)+N(AC44)+N(AF44)+N(AI44)+N(AL44))</f>
        <v/>
      </c>
      <c r="AP44" s="26">
        <f>IF(A44="","",N(B44)-AO44)</f>
        <v/>
      </c>
      <c r="AQ44">
        <f>IF(A44="",0,(N(F44)&lt;0)+(N(I44)&lt;0)+(N(L44)&lt;0)+(N(O44)&lt;0)+(N(R44)&lt;0)+(N(U44)&lt;0)+(N(X44)&lt;0)+(N(AA44)&lt;0)+(N(AD44)&lt;0)+(N(AG44)&lt;0)+(N(AJ44)&lt;0)+(N(AM44)&lt;0))</f>
        <v/>
      </c>
      <c r="AR44">
        <f>IF(A44="",0,MAX(0,-N(F44))+MAX(0,-N(I44))+MAX(0,-N(L44))+MAX(0,-N(O44))+MAX(0,-N(R44))+MAX(0,-N(U44))+MAX(0,-N(X44))+MAX(0,-N(AA44))+MAX(0,-N(AD44))+MAX(0,-N(AG44))+MAX(0,-N(AJ44))+MAX(0,-N(AM44)))</f>
        <v/>
      </c>
      <c r="AS44">
        <f>IF(A44="",0,IF(OR(N(AP44)&lt;0,AQ44&gt;0),1,0))</f>
        <v/>
      </c>
      <c r="AT44">
        <f>AT43+AS44</f>
        <v/>
      </c>
      <c r="AU44">
        <f>IF(A44="",-1,N(AO44)+ROW()/10000000)</f>
        <v/>
      </c>
    </row>
    <row r="45">
      <c r="A45" s="19" t="n"/>
      <c r="B45" s="20" t="n"/>
      <c r="C45" s="21">
        <f>IF(A45="","",N(B45)/12)</f>
        <v/>
      </c>
      <c r="D45" s="22" t="n"/>
      <c r="E45" s="23">
        <f>IF($A45="","",IFERROR(SUMPRODUCT(('[1]عهد ومصروفات بدر'!$H$8:$H$5007=$A45)*('[1]عهد ومصروفات بدر'!$S$8:$S$5007=1)*'[1]عهد ومصروفات بدر'!$T$8:$T$5007),0))</f>
        <v/>
      </c>
      <c r="F45" s="24">
        <f>IF($A45="","",N(D45)-N(E45))</f>
        <v/>
      </c>
      <c r="G45" s="22" t="n"/>
      <c r="H45" s="23">
        <f>IF($A45="","",IFERROR(SUMPRODUCT(('[1]عهد ومصروفات بدر'!$H$8:$H$5007=$A45)*('[1]عهد ومصروفات بدر'!$S$8:$S$5007=2)*'[1]عهد ومصروفات بدر'!$T$8:$T$5007),0))</f>
        <v/>
      </c>
      <c r="I45" s="24">
        <f>IF($A45="","",N(G45)-N(H45))</f>
        <v/>
      </c>
      <c r="J45" s="22" t="n"/>
      <c r="K45" s="23">
        <f>IF($A45="","",IFERROR(SUMPRODUCT(('[1]عهد ومصروفات بدر'!$H$8:$H$5007=$A45)*('[1]عهد ومصروفات بدر'!$S$8:$S$5007=3)*'[1]عهد ومصروفات بدر'!$T$8:$T$5007),0))</f>
        <v/>
      </c>
      <c r="L45" s="24">
        <f>IF($A45="","",N(J45)-N(K45))</f>
        <v/>
      </c>
      <c r="M45" s="22" t="n"/>
      <c r="N45" s="23">
        <f>IF($A45="","",IFERROR(SUMPRODUCT(('[1]عهد ومصروفات بدر'!$H$8:$H$5007=$A45)*('[1]عهد ومصروفات بدر'!$S$8:$S$5007=4)*'[1]عهد ومصروفات بدر'!$T$8:$T$5007),0))</f>
        <v/>
      </c>
      <c r="O45" s="24">
        <f>IF($A45="","",N(M45)-N(N45))</f>
        <v/>
      </c>
      <c r="P45" s="22" t="n"/>
      <c r="Q45" s="23">
        <f>IF($A45="","",IFERROR(SUMPRODUCT(('[1]عهد ومصروفات بدر'!$H$8:$H$5007=$A45)*('[1]عهد ومصروفات بدر'!$S$8:$S$5007=5)*'[1]عهد ومصروفات بدر'!$T$8:$T$5007),0))</f>
        <v/>
      </c>
      <c r="R45" s="24">
        <f>IF($A45="","",N(P45)-N(Q45))</f>
        <v/>
      </c>
      <c r="S45" s="22" t="n"/>
      <c r="T45" s="23">
        <f>IF($A45="","",IFERROR(SUMPRODUCT(('[1]عهد ومصروفات بدر'!$H$8:$H$5007=$A45)*('[1]عهد ومصروفات بدر'!$S$8:$S$5007=6)*'[1]عهد ومصروفات بدر'!$T$8:$T$5007),0))</f>
        <v/>
      </c>
      <c r="U45" s="24">
        <f>IF($A45="","",N(S45)-N(T45))</f>
        <v/>
      </c>
      <c r="V45" s="22" t="n"/>
      <c r="W45" s="23">
        <f>IF($A45="","",IFERROR(SUMPRODUCT(('[1]عهد ومصروفات بدر'!$H$8:$H$5007=$A45)*('[1]عهد ومصروفات بدر'!$S$8:$S$5007=7)*'[1]عهد ومصروفات بدر'!$T$8:$T$5007),0))</f>
        <v/>
      </c>
      <c r="X45" s="24">
        <f>IF($A45="","",N(V45)-N(W45))</f>
        <v/>
      </c>
      <c r="Y45" s="22" t="n"/>
      <c r="Z45" s="23">
        <f>IF($A45="","",IFERROR(SUMPRODUCT(('[1]عهد ومصروفات بدر'!$H$8:$H$5007=$A45)*('[1]عهد ومصروفات بدر'!$S$8:$S$5007=8)*'[1]عهد ومصروفات بدر'!$T$8:$T$5007),0))</f>
        <v/>
      </c>
      <c r="AA45" s="24">
        <f>IF($A45="","",N(Y45)-N(Z45))</f>
        <v/>
      </c>
      <c r="AB45" s="22" t="n"/>
      <c r="AC45" s="23">
        <f>IF($A45="","",IFERROR(SUMPRODUCT(('[1]عهد ومصروفات بدر'!$H$8:$H$5007=$A45)*('[1]عهد ومصروفات بدر'!$S$8:$S$5007=9)*'[1]عهد ومصروفات بدر'!$T$8:$T$5007),0))</f>
        <v/>
      </c>
      <c r="AD45" s="24">
        <f>IF($A45="","",N(AB45)-N(AC45))</f>
        <v/>
      </c>
      <c r="AE45" s="22" t="n"/>
      <c r="AF45" s="23">
        <f>IF($A45="","",IFERROR(SUMPRODUCT(('[1]عهد ومصروفات بدر'!$H$8:$H$5007=$A45)*('[1]عهد ومصروفات بدر'!$S$8:$S$5007=10)*'[1]عهد ومصروفات بدر'!$T$8:$T$5007),0))</f>
        <v/>
      </c>
      <c r="AG45" s="24">
        <f>IF($A45="","",N(AE45)-N(AF45))</f>
        <v/>
      </c>
      <c r="AH45" s="22" t="n"/>
      <c r="AI45" s="23">
        <f>IF($A45="","",IFERROR(SUMPRODUCT(('[1]عهد ومصروفات بدر'!$H$8:$H$5007=$A45)*('[1]عهد ومصروفات بدر'!$S$8:$S$5007=11)*'[1]عهد ومصروفات بدر'!$T$8:$T$5007),0))</f>
        <v/>
      </c>
      <c r="AJ45" s="24">
        <f>IF($A45="","",N(AH45)-N(AI45))</f>
        <v/>
      </c>
      <c r="AK45" s="22" t="n"/>
      <c r="AL45" s="23">
        <f>IF($A45="","",IFERROR(SUMPRODUCT(('[1]عهد ومصروفات بدر'!$H$8:$H$5007=$A45)*('[1]عهد ومصروفات بدر'!$S$8:$S$5007=12)*'[1]عهد ومصروفات بدر'!$T$8:$T$5007),0))</f>
        <v/>
      </c>
      <c r="AM45" s="24">
        <f>IF($A45="","",N(AK45)-N(AL45))</f>
        <v/>
      </c>
      <c r="AN45" s="25">
        <f>IF(A45="","",N(D45)+N(G45)+N(J45)+N(M45)+N(P45)+N(S45)+N(V45)+N(Y45)+N(AB45)+N(AE45)+N(AH45)+N(AK45))</f>
        <v/>
      </c>
      <c r="AO45" s="25">
        <f>IF(A45="","",N(E45)+N(H45)+N(K45)+N(N45)+N(Q45)+N(T45)+N(W45)+N(Z45)+N(AC45)+N(AF45)+N(AI45)+N(AL45))</f>
        <v/>
      </c>
      <c r="AP45" s="26">
        <f>IF(A45="","",N(B45)-AO45)</f>
        <v/>
      </c>
      <c r="AQ45">
        <f>IF(A45="",0,(N(F45)&lt;0)+(N(I45)&lt;0)+(N(L45)&lt;0)+(N(O45)&lt;0)+(N(R45)&lt;0)+(N(U45)&lt;0)+(N(X45)&lt;0)+(N(AA45)&lt;0)+(N(AD45)&lt;0)+(N(AG45)&lt;0)+(N(AJ45)&lt;0)+(N(AM45)&lt;0))</f>
        <v/>
      </c>
      <c r="AR45">
        <f>IF(A45="",0,MAX(0,-N(F45))+MAX(0,-N(I45))+MAX(0,-N(L45))+MAX(0,-N(O45))+MAX(0,-N(R45))+MAX(0,-N(U45))+MAX(0,-N(X45))+MAX(0,-N(AA45))+MAX(0,-N(AD45))+MAX(0,-N(AG45))+MAX(0,-N(AJ45))+MAX(0,-N(AM45)))</f>
        <v/>
      </c>
      <c r="AS45">
        <f>IF(A45="",0,IF(OR(N(AP45)&lt;0,AQ45&gt;0),1,0))</f>
        <v/>
      </c>
      <c r="AT45">
        <f>AT44+AS45</f>
        <v/>
      </c>
      <c r="AU45">
        <f>IF(A45="",-1,N(AO45)+ROW()/10000000)</f>
        <v/>
      </c>
    </row>
    <row r="46">
      <c r="A46" s="19" t="n"/>
      <c r="B46" s="20" t="n"/>
      <c r="C46" s="21">
        <f>IF(A46="","",N(B46)/12)</f>
        <v/>
      </c>
      <c r="D46" s="22" t="n"/>
      <c r="E46" s="23">
        <f>IF($A46="","",IFERROR(SUMPRODUCT(('[1]عهد ومصروفات بدر'!$H$8:$H$5007=$A46)*('[1]عهد ومصروفات بدر'!$S$8:$S$5007=1)*'[1]عهد ومصروفات بدر'!$T$8:$T$5007),0))</f>
        <v/>
      </c>
      <c r="F46" s="24">
        <f>IF($A46="","",N(D46)-N(E46))</f>
        <v/>
      </c>
      <c r="G46" s="22" t="n"/>
      <c r="H46" s="23">
        <f>IF($A46="","",IFERROR(SUMPRODUCT(('[1]عهد ومصروفات بدر'!$H$8:$H$5007=$A46)*('[1]عهد ومصروفات بدر'!$S$8:$S$5007=2)*'[1]عهد ومصروفات بدر'!$T$8:$T$5007),0))</f>
        <v/>
      </c>
      <c r="I46" s="24">
        <f>IF($A46="","",N(G46)-N(H46))</f>
        <v/>
      </c>
      <c r="J46" s="22" t="n"/>
      <c r="K46" s="23">
        <f>IF($A46="","",IFERROR(SUMPRODUCT(('[1]عهد ومصروفات بدر'!$H$8:$H$5007=$A46)*('[1]عهد ومصروفات بدر'!$S$8:$S$5007=3)*'[1]عهد ومصروفات بدر'!$T$8:$T$5007),0))</f>
        <v/>
      </c>
      <c r="L46" s="24">
        <f>IF($A46="","",N(J46)-N(K46))</f>
        <v/>
      </c>
      <c r="M46" s="22" t="n"/>
      <c r="N46" s="23">
        <f>IF($A46="","",IFERROR(SUMPRODUCT(('[1]عهد ومصروفات بدر'!$H$8:$H$5007=$A46)*('[1]عهد ومصروفات بدر'!$S$8:$S$5007=4)*'[1]عهد ومصروفات بدر'!$T$8:$T$5007),0))</f>
        <v/>
      </c>
      <c r="O46" s="24">
        <f>IF($A46="","",N(M46)-N(N46))</f>
        <v/>
      </c>
      <c r="P46" s="22" t="n"/>
      <c r="Q46" s="23">
        <f>IF($A46="","",IFERROR(SUMPRODUCT(('[1]عهد ومصروفات بدر'!$H$8:$H$5007=$A46)*('[1]عهد ومصروفات بدر'!$S$8:$S$5007=5)*'[1]عهد ومصروفات بدر'!$T$8:$T$5007),0))</f>
        <v/>
      </c>
      <c r="R46" s="24">
        <f>IF($A46="","",N(P46)-N(Q46))</f>
        <v/>
      </c>
      <c r="S46" s="22" t="n"/>
      <c r="T46" s="23">
        <f>IF($A46="","",IFERROR(SUMPRODUCT(('[1]عهد ومصروفات بدر'!$H$8:$H$5007=$A46)*('[1]عهد ومصروفات بدر'!$S$8:$S$5007=6)*'[1]عهد ومصروفات بدر'!$T$8:$T$5007),0))</f>
        <v/>
      </c>
      <c r="U46" s="24">
        <f>IF($A46="","",N(S46)-N(T46))</f>
        <v/>
      </c>
      <c r="V46" s="22" t="n"/>
      <c r="W46" s="23">
        <f>IF($A46="","",IFERROR(SUMPRODUCT(('[1]عهد ومصروفات بدر'!$H$8:$H$5007=$A46)*('[1]عهد ومصروفات بدر'!$S$8:$S$5007=7)*'[1]عهد ومصروفات بدر'!$T$8:$T$5007),0))</f>
        <v/>
      </c>
      <c r="X46" s="24">
        <f>IF($A46="","",N(V46)-N(W46))</f>
        <v/>
      </c>
      <c r="Y46" s="22" t="n"/>
      <c r="Z46" s="23">
        <f>IF($A46="","",IFERROR(SUMPRODUCT(('[1]عهد ومصروفات بدر'!$H$8:$H$5007=$A46)*('[1]عهد ومصروفات بدر'!$S$8:$S$5007=8)*'[1]عهد ومصروفات بدر'!$T$8:$T$5007),0))</f>
        <v/>
      </c>
      <c r="AA46" s="24">
        <f>IF($A46="","",N(Y46)-N(Z46))</f>
        <v/>
      </c>
      <c r="AB46" s="22" t="n"/>
      <c r="AC46" s="23">
        <f>IF($A46="","",IFERROR(SUMPRODUCT(('[1]عهد ومصروفات بدر'!$H$8:$H$5007=$A46)*('[1]عهد ومصروفات بدر'!$S$8:$S$5007=9)*'[1]عهد ومصروفات بدر'!$T$8:$T$5007),0))</f>
        <v/>
      </c>
      <c r="AD46" s="24">
        <f>IF($A46="","",N(AB46)-N(AC46))</f>
        <v/>
      </c>
      <c r="AE46" s="22" t="n"/>
      <c r="AF46" s="23">
        <f>IF($A46="","",IFERROR(SUMPRODUCT(('[1]عهد ومصروفات بدر'!$H$8:$H$5007=$A46)*('[1]عهد ومصروفات بدر'!$S$8:$S$5007=10)*'[1]عهد ومصروفات بدر'!$T$8:$T$5007),0))</f>
        <v/>
      </c>
      <c r="AG46" s="24">
        <f>IF($A46="","",N(AE46)-N(AF46))</f>
        <v/>
      </c>
      <c r="AH46" s="22" t="n"/>
      <c r="AI46" s="23">
        <f>IF($A46="","",IFERROR(SUMPRODUCT(('[1]عهد ومصروفات بدر'!$H$8:$H$5007=$A46)*('[1]عهد ومصروفات بدر'!$S$8:$S$5007=11)*'[1]عهد ومصروفات بدر'!$T$8:$T$5007),0))</f>
        <v/>
      </c>
      <c r="AJ46" s="24">
        <f>IF($A46="","",N(AH46)-N(AI46))</f>
        <v/>
      </c>
      <c r="AK46" s="22" t="n"/>
      <c r="AL46" s="23">
        <f>IF($A46="","",IFERROR(SUMPRODUCT(('[1]عهد ومصروفات بدر'!$H$8:$H$5007=$A46)*('[1]عهد ومصروفات بدر'!$S$8:$S$5007=12)*'[1]عهد ومصروفات بدر'!$T$8:$T$5007),0))</f>
        <v/>
      </c>
      <c r="AM46" s="24">
        <f>IF($A46="","",N(AK46)-N(AL46))</f>
        <v/>
      </c>
      <c r="AN46" s="25">
        <f>IF(A46="","",N(D46)+N(G46)+N(J46)+N(M46)+N(P46)+N(S46)+N(V46)+N(Y46)+N(AB46)+N(AE46)+N(AH46)+N(AK46))</f>
        <v/>
      </c>
      <c r="AO46" s="25">
        <f>IF(A46="","",N(E46)+N(H46)+N(K46)+N(N46)+N(Q46)+N(T46)+N(W46)+N(Z46)+N(AC46)+N(AF46)+N(AI46)+N(AL46))</f>
        <v/>
      </c>
      <c r="AP46" s="26">
        <f>IF(A46="","",N(B46)-AO46)</f>
        <v/>
      </c>
      <c r="AQ46">
        <f>IF(A46="",0,(N(F46)&lt;0)+(N(I46)&lt;0)+(N(L46)&lt;0)+(N(O46)&lt;0)+(N(R46)&lt;0)+(N(U46)&lt;0)+(N(X46)&lt;0)+(N(AA46)&lt;0)+(N(AD46)&lt;0)+(N(AG46)&lt;0)+(N(AJ46)&lt;0)+(N(AM46)&lt;0))</f>
        <v/>
      </c>
      <c r="AR46">
        <f>IF(A46="",0,MAX(0,-N(F46))+MAX(0,-N(I46))+MAX(0,-N(L46))+MAX(0,-N(O46))+MAX(0,-N(R46))+MAX(0,-N(U46))+MAX(0,-N(X46))+MAX(0,-N(AA46))+MAX(0,-N(AD46))+MAX(0,-N(AG46))+MAX(0,-N(AJ46))+MAX(0,-N(AM46)))</f>
        <v/>
      </c>
      <c r="AS46">
        <f>IF(A46="",0,IF(OR(N(AP46)&lt;0,AQ46&gt;0),1,0))</f>
        <v/>
      </c>
      <c r="AT46">
        <f>AT45+AS46</f>
        <v/>
      </c>
      <c r="AU46">
        <f>IF(A46="",-1,N(AO46)+ROW()/10000000)</f>
        <v/>
      </c>
    </row>
    <row r="47">
      <c r="A47" s="19" t="n"/>
      <c r="B47" s="20" t="n"/>
      <c r="C47" s="21">
        <f>IF(A47="","",N(B47)/12)</f>
        <v/>
      </c>
      <c r="D47" s="22" t="n"/>
      <c r="E47" s="23">
        <f>IF($A47="","",IFERROR(SUMPRODUCT(('[1]عهد ومصروفات بدر'!$H$8:$H$5007=$A47)*('[1]عهد ومصروفات بدر'!$S$8:$S$5007=1)*'[1]عهد ومصروفات بدر'!$T$8:$T$5007),0))</f>
        <v/>
      </c>
      <c r="F47" s="24">
        <f>IF($A47="","",N(D47)-N(E47))</f>
        <v/>
      </c>
      <c r="G47" s="22" t="n"/>
      <c r="H47" s="23">
        <f>IF($A47="","",IFERROR(SUMPRODUCT(('[1]عهد ومصروفات بدر'!$H$8:$H$5007=$A47)*('[1]عهد ومصروفات بدر'!$S$8:$S$5007=2)*'[1]عهد ومصروفات بدر'!$T$8:$T$5007),0))</f>
        <v/>
      </c>
      <c r="I47" s="24">
        <f>IF($A47="","",N(G47)-N(H47))</f>
        <v/>
      </c>
      <c r="J47" s="22" t="n"/>
      <c r="K47" s="23">
        <f>IF($A47="","",IFERROR(SUMPRODUCT(('[1]عهد ومصروفات بدر'!$H$8:$H$5007=$A47)*('[1]عهد ومصروفات بدر'!$S$8:$S$5007=3)*'[1]عهد ومصروفات بدر'!$T$8:$T$5007),0))</f>
        <v/>
      </c>
      <c r="L47" s="24">
        <f>IF($A47="","",N(J47)-N(K47))</f>
        <v/>
      </c>
      <c r="M47" s="22" t="n"/>
      <c r="N47" s="23">
        <f>IF($A47="","",IFERROR(SUMPRODUCT(('[1]عهد ومصروفات بدر'!$H$8:$H$5007=$A47)*('[1]عهد ومصروفات بدر'!$S$8:$S$5007=4)*'[1]عهد ومصروفات بدر'!$T$8:$T$5007),0))</f>
        <v/>
      </c>
      <c r="O47" s="24">
        <f>IF($A47="","",N(M47)-N(N47))</f>
        <v/>
      </c>
      <c r="P47" s="22" t="n"/>
      <c r="Q47" s="23">
        <f>IF($A47="","",IFERROR(SUMPRODUCT(('[1]عهد ومصروفات بدر'!$H$8:$H$5007=$A47)*('[1]عهد ومصروفات بدر'!$S$8:$S$5007=5)*'[1]عهد ومصروفات بدر'!$T$8:$T$5007),0))</f>
        <v/>
      </c>
      <c r="R47" s="24">
        <f>IF($A47="","",N(P47)-N(Q47))</f>
        <v/>
      </c>
      <c r="S47" s="22" t="n"/>
      <c r="T47" s="23">
        <f>IF($A47="","",IFERROR(SUMPRODUCT(('[1]عهد ومصروفات بدر'!$H$8:$H$5007=$A47)*('[1]عهد ومصروفات بدر'!$S$8:$S$5007=6)*'[1]عهد ومصروفات بدر'!$T$8:$T$5007),0))</f>
        <v/>
      </c>
      <c r="U47" s="24">
        <f>IF($A47="","",N(S47)-N(T47))</f>
        <v/>
      </c>
      <c r="V47" s="22" t="n"/>
      <c r="W47" s="23">
        <f>IF($A47="","",IFERROR(SUMPRODUCT(('[1]عهد ومصروفات بدر'!$H$8:$H$5007=$A47)*('[1]عهد ومصروفات بدر'!$S$8:$S$5007=7)*'[1]عهد ومصروفات بدر'!$T$8:$T$5007),0))</f>
        <v/>
      </c>
      <c r="X47" s="24">
        <f>IF($A47="","",N(V47)-N(W47))</f>
        <v/>
      </c>
      <c r="Y47" s="22" t="n"/>
      <c r="Z47" s="23">
        <f>IF($A47="","",IFERROR(SUMPRODUCT(('[1]عهد ومصروفات بدر'!$H$8:$H$5007=$A47)*('[1]عهد ومصروفات بدر'!$S$8:$S$5007=8)*'[1]عهد ومصروفات بدر'!$T$8:$T$5007),0))</f>
        <v/>
      </c>
      <c r="AA47" s="24">
        <f>IF($A47="","",N(Y47)-N(Z47))</f>
        <v/>
      </c>
      <c r="AB47" s="22" t="n"/>
      <c r="AC47" s="23">
        <f>IF($A47="","",IFERROR(SUMPRODUCT(('[1]عهد ومصروفات بدر'!$H$8:$H$5007=$A47)*('[1]عهد ومصروفات بدر'!$S$8:$S$5007=9)*'[1]عهد ومصروفات بدر'!$T$8:$T$5007),0))</f>
        <v/>
      </c>
      <c r="AD47" s="24">
        <f>IF($A47="","",N(AB47)-N(AC47))</f>
        <v/>
      </c>
      <c r="AE47" s="22" t="n"/>
      <c r="AF47" s="23">
        <f>IF($A47="","",IFERROR(SUMPRODUCT(('[1]عهد ومصروفات بدر'!$H$8:$H$5007=$A47)*('[1]عهد ومصروفات بدر'!$S$8:$S$5007=10)*'[1]عهد ومصروفات بدر'!$T$8:$T$5007),0))</f>
        <v/>
      </c>
      <c r="AG47" s="24">
        <f>IF($A47="","",N(AE47)-N(AF47))</f>
        <v/>
      </c>
      <c r="AH47" s="22" t="n"/>
      <c r="AI47" s="23">
        <f>IF($A47="","",IFERROR(SUMPRODUCT(('[1]عهد ومصروفات بدر'!$H$8:$H$5007=$A47)*('[1]عهد ومصروفات بدر'!$S$8:$S$5007=11)*'[1]عهد ومصروفات بدر'!$T$8:$T$5007),0))</f>
        <v/>
      </c>
      <c r="AJ47" s="24">
        <f>IF($A47="","",N(AH47)-N(AI47))</f>
        <v/>
      </c>
      <c r="AK47" s="22" t="n"/>
      <c r="AL47" s="23">
        <f>IF($A47="","",IFERROR(SUMPRODUCT(('[1]عهد ومصروفات بدر'!$H$8:$H$5007=$A47)*('[1]عهد ومصروفات بدر'!$S$8:$S$5007=12)*'[1]عهد ومصروفات بدر'!$T$8:$T$5007),0))</f>
        <v/>
      </c>
      <c r="AM47" s="24">
        <f>IF($A47="","",N(AK47)-N(AL47))</f>
        <v/>
      </c>
      <c r="AN47" s="25">
        <f>IF(A47="","",N(D47)+N(G47)+N(J47)+N(M47)+N(P47)+N(S47)+N(V47)+N(Y47)+N(AB47)+N(AE47)+N(AH47)+N(AK47))</f>
        <v/>
      </c>
      <c r="AO47" s="25">
        <f>IF(A47="","",N(E47)+N(H47)+N(K47)+N(N47)+N(Q47)+N(T47)+N(W47)+N(Z47)+N(AC47)+N(AF47)+N(AI47)+N(AL47))</f>
        <v/>
      </c>
      <c r="AP47" s="26">
        <f>IF(A47="","",N(B47)-AO47)</f>
        <v/>
      </c>
      <c r="AQ47">
        <f>IF(A47="",0,(N(F47)&lt;0)+(N(I47)&lt;0)+(N(L47)&lt;0)+(N(O47)&lt;0)+(N(R47)&lt;0)+(N(U47)&lt;0)+(N(X47)&lt;0)+(N(AA47)&lt;0)+(N(AD47)&lt;0)+(N(AG47)&lt;0)+(N(AJ47)&lt;0)+(N(AM47)&lt;0))</f>
        <v/>
      </c>
      <c r="AR47">
        <f>IF(A47="",0,MAX(0,-N(F47))+MAX(0,-N(I47))+MAX(0,-N(L47))+MAX(0,-N(O47))+MAX(0,-N(R47))+MAX(0,-N(U47))+MAX(0,-N(X47))+MAX(0,-N(AA47))+MAX(0,-N(AD47))+MAX(0,-N(AG47))+MAX(0,-N(AJ47))+MAX(0,-N(AM47)))</f>
        <v/>
      </c>
      <c r="AS47">
        <f>IF(A47="",0,IF(OR(N(AP47)&lt;0,AQ47&gt;0),1,0))</f>
        <v/>
      </c>
      <c r="AT47">
        <f>AT46+AS47</f>
        <v/>
      </c>
      <c r="AU47">
        <f>IF(A47="",-1,N(AO47)+ROW()/10000000)</f>
        <v/>
      </c>
    </row>
    <row r="48">
      <c r="A48" s="19" t="n"/>
      <c r="B48" s="20" t="n"/>
      <c r="C48" s="21">
        <f>IF(A48="","",N(B48)/12)</f>
        <v/>
      </c>
      <c r="D48" s="22" t="n"/>
      <c r="E48" s="23">
        <f>IF($A48="","",IFERROR(SUMPRODUCT(('[1]عهد ومصروفات بدر'!$H$8:$H$5007=$A48)*('[1]عهد ومصروفات بدر'!$S$8:$S$5007=1)*'[1]عهد ومصروفات بدر'!$T$8:$T$5007),0))</f>
        <v/>
      </c>
      <c r="F48" s="24">
        <f>IF($A48="","",N(D48)-N(E48))</f>
        <v/>
      </c>
      <c r="G48" s="22" t="n"/>
      <c r="H48" s="23">
        <f>IF($A48="","",IFERROR(SUMPRODUCT(('[1]عهد ومصروفات بدر'!$H$8:$H$5007=$A48)*('[1]عهد ومصروفات بدر'!$S$8:$S$5007=2)*'[1]عهد ومصروفات بدر'!$T$8:$T$5007),0))</f>
        <v/>
      </c>
      <c r="I48" s="24">
        <f>IF($A48="","",N(G48)-N(H48))</f>
        <v/>
      </c>
      <c r="J48" s="22" t="n"/>
      <c r="K48" s="23">
        <f>IF($A48="","",IFERROR(SUMPRODUCT(('[1]عهد ومصروفات بدر'!$H$8:$H$5007=$A48)*('[1]عهد ومصروفات بدر'!$S$8:$S$5007=3)*'[1]عهد ومصروفات بدر'!$T$8:$T$5007),0))</f>
        <v/>
      </c>
      <c r="L48" s="24">
        <f>IF($A48="","",N(J48)-N(K48))</f>
        <v/>
      </c>
      <c r="M48" s="22" t="n"/>
      <c r="N48" s="23">
        <f>IF($A48="","",IFERROR(SUMPRODUCT(('[1]عهد ومصروفات بدر'!$H$8:$H$5007=$A48)*('[1]عهد ومصروفات بدر'!$S$8:$S$5007=4)*'[1]عهد ومصروفات بدر'!$T$8:$T$5007),0))</f>
        <v/>
      </c>
      <c r="O48" s="24">
        <f>IF($A48="","",N(M48)-N(N48))</f>
        <v/>
      </c>
      <c r="P48" s="22" t="n"/>
      <c r="Q48" s="23">
        <f>IF($A48="","",IFERROR(SUMPRODUCT(('[1]عهد ومصروفات بدر'!$H$8:$H$5007=$A48)*('[1]عهد ومصروفات بدر'!$S$8:$S$5007=5)*'[1]عهد ومصروفات بدر'!$T$8:$T$5007),0))</f>
        <v/>
      </c>
      <c r="R48" s="24">
        <f>IF($A48="","",N(P48)-N(Q48))</f>
        <v/>
      </c>
      <c r="S48" s="22" t="n"/>
      <c r="T48" s="23">
        <f>IF($A48="","",IFERROR(SUMPRODUCT(('[1]عهد ومصروفات بدر'!$H$8:$H$5007=$A48)*('[1]عهد ومصروفات بدر'!$S$8:$S$5007=6)*'[1]عهد ومصروفات بدر'!$T$8:$T$5007),0))</f>
        <v/>
      </c>
      <c r="U48" s="24">
        <f>IF($A48="","",N(S48)-N(T48))</f>
        <v/>
      </c>
      <c r="V48" s="22" t="n"/>
      <c r="W48" s="23">
        <f>IF($A48="","",IFERROR(SUMPRODUCT(('[1]عهد ومصروفات بدر'!$H$8:$H$5007=$A48)*('[1]عهد ومصروفات بدر'!$S$8:$S$5007=7)*'[1]عهد ومصروفات بدر'!$T$8:$T$5007),0))</f>
        <v/>
      </c>
      <c r="X48" s="24">
        <f>IF($A48="","",N(V48)-N(W48))</f>
        <v/>
      </c>
      <c r="Y48" s="22" t="n"/>
      <c r="Z48" s="23">
        <f>IF($A48="","",IFERROR(SUMPRODUCT(('[1]عهد ومصروفات بدر'!$H$8:$H$5007=$A48)*('[1]عهد ومصروفات بدر'!$S$8:$S$5007=8)*'[1]عهد ومصروفات بدر'!$T$8:$T$5007),0))</f>
        <v/>
      </c>
      <c r="AA48" s="24">
        <f>IF($A48="","",N(Y48)-N(Z48))</f>
        <v/>
      </c>
      <c r="AB48" s="22" t="n"/>
      <c r="AC48" s="23">
        <f>IF($A48="","",IFERROR(SUMPRODUCT(('[1]عهد ومصروفات بدر'!$H$8:$H$5007=$A48)*('[1]عهد ومصروفات بدر'!$S$8:$S$5007=9)*'[1]عهد ومصروفات بدر'!$T$8:$T$5007),0))</f>
        <v/>
      </c>
      <c r="AD48" s="24">
        <f>IF($A48="","",N(AB48)-N(AC48))</f>
        <v/>
      </c>
      <c r="AE48" s="22" t="n"/>
      <c r="AF48" s="23">
        <f>IF($A48="","",IFERROR(SUMPRODUCT(('[1]عهد ومصروفات بدر'!$H$8:$H$5007=$A48)*('[1]عهد ومصروفات بدر'!$S$8:$S$5007=10)*'[1]عهد ومصروفات بدر'!$T$8:$T$5007),0))</f>
        <v/>
      </c>
      <c r="AG48" s="24">
        <f>IF($A48="","",N(AE48)-N(AF48))</f>
        <v/>
      </c>
      <c r="AH48" s="22" t="n"/>
      <c r="AI48" s="23">
        <f>IF($A48="","",IFERROR(SUMPRODUCT(('[1]عهد ومصروفات بدر'!$H$8:$H$5007=$A48)*('[1]عهد ومصروفات بدر'!$S$8:$S$5007=11)*'[1]عهد ومصروفات بدر'!$T$8:$T$5007),0))</f>
        <v/>
      </c>
      <c r="AJ48" s="24">
        <f>IF($A48="","",N(AH48)-N(AI48))</f>
        <v/>
      </c>
      <c r="AK48" s="22" t="n"/>
      <c r="AL48" s="23">
        <f>IF($A48="","",IFERROR(SUMPRODUCT(('[1]عهد ومصروفات بدر'!$H$8:$H$5007=$A48)*('[1]عهد ومصروفات بدر'!$S$8:$S$5007=12)*'[1]عهد ومصروفات بدر'!$T$8:$T$5007),0))</f>
        <v/>
      </c>
      <c r="AM48" s="24">
        <f>IF($A48="","",N(AK48)-N(AL48))</f>
        <v/>
      </c>
      <c r="AN48" s="25">
        <f>IF(A48="","",N(D48)+N(G48)+N(J48)+N(M48)+N(P48)+N(S48)+N(V48)+N(Y48)+N(AB48)+N(AE48)+N(AH48)+N(AK48))</f>
        <v/>
      </c>
      <c r="AO48" s="25">
        <f>IF(A48="","",N(E48)+N(H48)+N(K48)+N(N48)+N(Q48)+N(T48)+N(W48)+N(Z48)+N(AC48)+N(AF48)+N(AI48)+N(AL48))</f>
        <v/>
      </c>
      <c r="AP48" s="26">
        <f>IF(A48="","",N(B48)-AO48)</f>
        <v/>
      </c>
      <c r="AQ48">
        <f>IF(A48="",0,(N(F48)&lt;0)+(N(I48)&lt;0)+(N(L48)&lt;0)+(N(O48)&lt;0)+(N(R48)&lt;0)+(N(U48)&lt;0)+(N(X48)&lt;0)+(N(AA48)&lt;0)+(N(AD48)&lt;0)+(N(AG48)&lt;0)+(N(AJ48)&lt;0)+(N(AM48)&lt;0))</f>
        <v/>
      </c>
      <c r="AR48">
        <f>IF(A48="",0,MAX(0,-N(F48))+MAX(0,-N(I48))+MAX(0,-N(L48))+MAX(0,-N(O48))+MAX(0,-N(R48))+MAX(0,-N(U48))+MAX(0,-N(X48))+MAX(0,-N(AA48))+MAX(0,-N(AD48))+MAX(0,-N(AG48))+MAX(0,-N(AJ48))+MAX(0,-N(AM48)))</f>
        <v/>
      </c>
      <c r="AS48">
        <f>IF(A48="",0,IF(OR(N(AP48)&lt;0,AQ48&gt;0),1,0))</f>
        <v/>
      </c>
      <c r="AT48">
        <f>AT47+AS48</f>
        <v/>
      </c>
      <c r="AU48">
        <f>IF(A48="",-1,N(AO48)+ROW()/10000000)</f>
        <v/>
      </c>
    </row>
    <row r="49">
      <c r="A49" s="19" t="n"/>
      <c r="B49" s="20" t="n"/>
      <c r="C49" s="21">
        <f>IF(A49="","",N(B49)/12)</f>
        <v/>
      </c>
      <c r="D49" s="22" t="n"/>
      <c r="E49" s="23">
        <f>IF($A49="","",IFERROR(SUMPRODUCT(('[1]عهد ومصروفات بدر'!$H$8:$H$5007=$A49)*('[1]عهد ومصروفات بدر'!$S$8:$S$5007=1)*'[1]عهد ومصروفات بدر'!$T$8:$T$5007),0))</f>
        <v/>
      </c>
      <c r="F49" s="24">
        <f>IF($A49="","",N(D49)-N(E49))</f>
        <v/>
      </c>
      <c r="G49" s="22" t="n"/>
      <c r="H49" s="23">
        <f>IF($A49="","",IFERROR(SUMPRODUCT(('[1]عهد ومصروفات بدر'!$H$8:$H$5007=$A49)*('[1]عهد ومصروفات بدر'!$S$8:$S$5007=2)*'[1]عهد ومصروفات بدر'!$T$8:$T$5007),0))</f>
        <v/>
      </c>
      <c r="I49" s="24">
        <f>IF($A49="","",N(G49)-N(H49))</f>
        <v/>
      </c>
      <c r="J49" s="22" t="n"/>
      <c r="K49" s="23">
        <f>IF($A49="","",IFERROR(SUMPRODUCT(('[1]عهد ومصروفات بدر'!$H$8:$H$5007=$A49)*('[1]عهد ومصروفات بدر'!$S$8:$S$5007=3)*'[1]عهد ومصروفات بدر'!$T$8:$T$5007),0))</f>
        <v/>
      </c>
      <c r="L49" s="24">
        <f>IF($A49="","",N(J49)-N(K49))</f>
        <v/>
      </c>
      <c r="M49" s="22" t="n"/>
      <c r="N49" s="23">
        <f>IF($A49="","",IFERROR(SUMPRODUCT(('[1]عهد ومصروفات بدر'!$H$8:$H$5007=$A49)*('[1]عهد ومصروفات بدر'!$S$8:$S$5007=4)*'[1]عهد ومصروفات بدر'!$T$8:$T$5007),0))</f>
        <v/>
      </c>
      <c r="O49" s="24">
        <f>IF($A49="","",N(M49)-N(N49))</f>
        <v/>
      </c>
      <c r="P49" s="22" t="n"/>
      <c r="Q49" s="23">
        <f>IF($A49="","",IFERROR(SUMPRODUCT(('[1]عهد ومصروفات بدر'!$H$8:$H$5007=$A49)*('[1]عهد ومصروفات بدر'!$S$8:$S$5007=5)*'[1]عهد ومصروفات بدر'!$T$8:$T$5007),0))</f>
        <v/>
      </c>
      <c r="R49" s="24">
        <f>IF($A49="","",N(P49)-N(Q49))</f>
        <v/>
      </c>
      <c r="S49" s="22" t="n"/>
      <c r="T49" s="23">
        <f>IF($A49="","",IFERROR(SUMPRODUCT(('[1]عهد ومصروفات بدر'!$H$8:$H$5007=$A49)*('[1]عهد ومصروفات بدر'!$S$8:$S$5007=6)*'[1]عهد ومصروفات بدر'!$T$8:$T$5007),0))</f>
        <v/>
      </c>
      <c r="U49" s="24">
        <f>IF($A49="","",N(S49)-N(T49))</f>
        <v/>
      </c>
      <c r="V49" s="22" t="n"/>
      <c r="W49" s="23">
        <f>IF($A49="","",IFERROR(SUMPRODUCT(('[1]عهد ومصروفات بدر'!$H$8:$H$5007=$A49)*('[1]عهد ومصروفات بدر'!$S$8:$S$5007=7)*'[1]عهد ومصروفات بدر'!$T$8:$T$5007),0))</f>
        <v/>
      </c>
      <c r="X49" s="24">
        <f>IF($A49="","",N(V49)-N(W49))</f>
        <v/>
      </c>
      <c r="Y49" s="22" t="n"/>
      <c r="Z49" s="23">
        <f>IF($A49="","",IFERROR(SUMPRODUCT(('[1]عهد ومصروفات بدر'!$H$8:$H$5007=$A49)*('[1]عهد ومصروفات بدر'!$S$8:$S$5007=8)*'[1]عهد ومصروفات بدر'!$T$8:$T$5007),0))</f>
        <v/>
      </c>
      <c r="AA49" s="24">
        <f>IF($A49="","",N(Y49)-N(Z49))</f>
        <v/>
      </c>
      <c r="AB49" s="22" t="n"/>
      <c r="AC49" s="23">
        <f>IF($A49="","",IFERROR(SUMPRODUCT(('[1]عهد ومصروفات بدر'!$H$8:$H$5007=$A49)*('[1]عهد ومصروفات بدر'!$S$8:$S$5007=9)*'[1]عهد ومصروفات بدر'!$T$8:$T$5007),0))</f>
        <v/>
      </c>
      <c r="AD49" s="24">
        <f>IF($A49="","",N(AB49)-N(AC49))</f>
        <v/>
      </c>
      <c r="AE49" s="22" t="n"/>
      <c r="AF49" s="23">
        <f>IF($A49="","",IFERROR(SUMPRODUCT(('[1]عهد ومصروفات بدر'!$H$8:$H$5007=$A49)*('[1]عهد ومصروفات بدر'!$S$8:$S$5007=10)*'[1]عهد ومصروفات بدر'!$T$8:$T$5007),0))</f>
        <v/>
      </c>
      <c r="AG49" s="24">
        <f>IF($A49="","",N(AE49)-N(AF49))</f>
        <v/>
      </c>
      <c r="AH49" s="22" t="n"/>
      <c r="AI49" s="23">
        <f>IF($A49="","",IFERROR(SUMPRODUCT(('[1]عهد ومصروفات بدر'!$H$8:$H$5007=$A49)*('[1]عهد ومصروفات بدر'!$S$8:$S$5007=11)*'[1]عهد ومصروفات بدر'!$T$8:$T$5007),0))</f>
        <v/>
      </c>
      <c r="AJ49" s="24">
        <f>IF($A49="","",N(AH49)-N(AI49))</f>
        <v/>
      </c>
      <c r="AK49" s="22" t="n"/>
      <c r="AL49" s="23">
        <f>IF($A49="","",IFERROR(SUMPRODUCT(('[1]عهد ومصروفات بدر'!$H$8:$H$5007=$A49)*('[1]عهد ومصروفات بدر'!$S$8:$S$5007=12)*'[1]عهد ومصروفات بدر'!$T$8:$T$5007),0))</f>
        <v/>
      </c>
      <c r="AM49" s="24">
        <f>IF($A49="","",N(AK49)-N(AL49))</f>
        <v/>
      </c>
      <c r="AN49" s="25">
        <f>IF(A49="","",N(D49)+N(G49)+N(J49)+N(M49)+N(P49)+N(S49)+N(V49)+N(Y49)+N(AB49)+N(AE49)+N(AH49)+N(AK49))</f>
        <v/>
      </c>
      <c r="AO49" s="25">
        <f>IF(A49="","",N(E49)+N(H49)+N(K49)+N(N49)+N(Q49)+N(T49)+N(W49)+N(Z49)+N(AC49)+N(AF49)+N(AI49)+N(AL49))</f>
        <v/>
      </c>
      <c r="AP49" s="26">
        <f>IF(A49="","",N(B49)-AO49)</f>
        <v/>
      </c>
      <c r="AQ49">
        <f>IF(A49="",0,(N(F49)&lt;0)+(N(I49)&lt;0)+(N(L49)&lt;0)+(N(O49)&lt;0)+(N(R49)&lt;0)+(N(U49)&lt;0)+(N(X49)&lt;0)+(N(AA49)&lt;0)+(N(AD49)&lt;0)+(N(AG49)&lt;0)+(N(AJ49)&lt;0)+(N(AM49)&lt;0))</f>
        <v/>
      </c>
      <c r="AR49">
        <f>IF(A49="",0,MAX(0,-N(F49))+MAX(0,-N(I49))+MAX(0,-N(L49))+MAX(0,-N(O49))+MAX(0,-N(R49))+MAX(0,-N(U49))+MAX(0,-N(X49))+MAX(0,-N(AA49))+MAX(0,-N(AD49))+MAX(0,-N(AG49))+MAX(0,-N(AJ49))+MAX(0,-N(AM49)))</f>
        <v/>
      </c>
      <c r="AS49">
        <f>IF(A49="",0,IF(OR(N(AP49)&lt;0,AQ49&gt;0),1,0))</f>
        <v/>
      </c>
      <c r="AT49">
        <f>AT48+AS49</f>
        <v/>
      </c>
      <c r="AU49">
        <f>IF(A49="",-1,N(AO49)+ROW()/10000000)</f>
        <v/>
      </c>
    </row>
    <row r="50">
      <c r="A50" s="19" t="n"/>
      <c r="B50" s="20" t="n"/>
      <c r="C50" s="21">
        <f>IF(A50="","",N(B50)/12)</f>
        <v/>
      </c>
      <c r="D50" s="22" t="n"/>
      <c r="E50" s="23">
        <f>IF($A50="","",IFERROR(SUMPRODUCT(('[1]عهد ومصروفات بدر'!$H$8:$H$5007=$A50)*('[1]عهد ومصروفات بدر'!$S$8:$S$5007=1)*'[1]عهد ومصروفات بدر'!$T$8:$T$5007),0))</f>
        <v/>
      </c>
      <c r="F50" s="24">
        <f>IF($A50="","",N(D50)-N(E50))</f>
        <v/>
      </c>
      <c r="G50" s="22" t="n"/>
      <c r="H50" s="23">
        <f>IF($A50="","",IFERROR(SUMPRODUCT(('[1]عهد ومصروفات بدر'!$H$8:$H$5007=$A50)*('[1]عهد ومصروفات بدر'!$S$8:$S$5007=2)*'[1]عهد ومصروفات بدر'!$T$8:$T$5007),0))</f>
        <v/>
      </c>
      <c r="I50" s="24">
        <f>IF($A50="","",N(G50)-N(H50))</f>
        <v/>
      </c>
      <c r="J50" s="22" t="n"/>
      <c r="K50" s="23">
        <f>IF($A50="","",IFERROR(SUMPRODUCT(('[1]عهد ومصروفات بدر'!$H$8:$H$5007=$A50)*('[1]عهد ومصروفات بدر'!$S$8:$S$5007=3)*'[1]عهد ومصروفات بدر'!$T$8:$T$5007),0))</f>
        <v/>
      </c>
      <c r="L50" s="24">
        <f>IF($A50="","",N(J50)-N(K50))</f>
        <v/>
      </c>
      <c r="M50" s="22" t="n"/>
      <c r="N50" s="23">
        <f>IF($A50="","",IFERROR(SUMPRODUCT(('[1]عهد ومصروفات بدر'!$H$8:$H$5007=$A50)*('[1]عهد ومصروفات بدر'!$S$8:$S$5007=4)*'[1]عهد ومصروفات بدر'!$T$8:$T$5007),0))</f>
        <v/>
      </c>
      <c r="O50" s="24">
        <f>IF($A50="","",N(M50)-N(N50))</f>
        <v/>
      </c>
      <c r="P50" s="22" t="n"/>
      <c r="Q50" s="23">
        <f>IF($A50="","",IFERROR(SUMPRODUCT(('[1]عهد ومصروفات بدر'!$H$8:$H$5007=$A50)*('[1]عهد ومصروفات بدر'!$S$8:$S$5007=5)*'[1]عهد ومصروفات بدر'!$T$8:$T$5007),0))</f>
        <v/>
      </c>
      <c r="R50" s="24">
        <f>IF($A50="","",N(P50)-N(Q50))</f>
        <v/>
      </c>
      <c r="S50" s="22" t="n"/>
      <c r="T50" s="23">
        <f>IF($A50="","",IFERROR(SUMPRODUCT(('[1]عهد ومصروفات بدر'!$H$8:$H$5007=$A50)*('[1]عهد ومصروفات بدر'!$S$8:$S$5007=6)*'[1]عهد ومصروفات بدر'!$T$8:$T$5007),0))</f>
        <v/>
      </c>
      <c r="U50" s="24">
        <f>IF($A50="","",N(S50)-N(T50))</f>
        <v/>
      </c>
      <c r="V50" s="22" t="n"/>
      <c r="W50" s="23">
        <f>IF($A50="","",IFERROR(SUMPRODUCT(('[1]عهد ومصروفات بدر'!$H$8:$H$5007=$A50)*('[1]عهد ومصروفات بدر'!$S$8:$S$5007=7)*'[1]عهد ومصروفات بدر'!$T$8:$T$5007),0))</f>
        <v/>
      </c>
      <c r="X50" s="24">
        <f>IF($A50="","",N(V50)-N(W50))</f>
        <v/>
      </c>
      <c r="Y50" s="22" t="n"/>
      <c r="Z50" s="23">
        <f>IF($A50="","",IFERROR(SUMPRODUCT(('[1]عهد ومصروفات بدر'!$H$8:$H$5007=$A50)*('[1]عهد ومصروفات بدر'!$S$8:$S$5007=8)*'[1]عهد ومصروفات بدر'!$T$8:$T$5007),0))</f>
        <v/>
      </c>
      <c r="AA50" s="24">
        <f>IF($A50="","",N(Y50)-N(Z50))</f>
        <v/>
      </c>
      <c r="AB50" s="22" t="n"/>
      <c r="AC50" s="23">
        <f>IF($A50="","",IFERROR(SUMPRODUCT(('[1]عهد ومصروفات بدر'!$H$8:$H$5007=$A50)*('[1]عهد ومصروفات بدر'!$S$8:$S$5007=9)*'[1]عهد ومصروفات بدر'!$T$8:$T$5007),0))</f>
        <v/>
      </c>
      <c r="AD50" s="24">
        <f>IF($A50="","",N(AB50)-N(AC50))</f>
        <v/>
      </c>
      <c r="AE50" s="22" t="n"/>
      <c r="AF50" s="23">
        <f>IF($A50="","",IFERROR(SUMPRODUCT(('[1]عهد ومصروفات بدر'!$H$8:$H$5007=$A50)*('[1]عهد ومصروفات بدر'!$S$8:$S$5007=10)*'[1]عهد ومصروفات بدر'!$T$8:$T$5007),0))</f>
        <v/>
      </c>
      <c r="AG50" s="24">
        <f>IF($A50="","",N(AE50)-N(AF50))</f>
        <v/>
      </c>
      <c r="AH50" s="22" t="n"/>
      <c r="AI50" s="23">
        <f>IF($A50="","",IFERROR(SUMPRODUCT(('[1]عهد ومصروفات بدر'!$H$8:$H$5007=$A50)*('[1]عهد ومصروفات بدر'!$S$8:$S$5007=11)*'[1]عهد ومصروفات بدر'!$T$8:$T$5007),0))</f>
        <v/>
      </c>
      <c r="AJ50" s="24">
        <f>IF($A50="","",N(AH50)-N(AI50))</f>
        <v/>
      </c>
      <c r="AK50" s="22" t="n"/>
      <c r="AL50" s="23">
        <f>IF($A50="","",IFERROR(SUMPRODUCT(('[1]عهد ومصروفات بدر'!$H$8:$H$5007=$A50)*('[1]عهد ومصروفات بدر'!$S$8:$S$5007=12)*'[1]عهد ومصروفات بدر'!$T$8:$T$5007),0))</f>
        <v/>
      </c>
      <c r="AM50" s="24">
        <f>IF($A50="","",N(AK50)-N(AL50))</f>
        <v/>
      </c>
      <c r="AN50" s="25">
        <f>IF(A50="","",N(D50)+N(G50)+N(J50)+N(M50)+N(P50)+N(S50)+N(V50)+N(Y50)+N(AB50)+N(AE50)+N(AH50)+N(AK50))</f>
        <v/>
      </c>
      <c r="AO50" s="25">
        <f>IF(A50="","",N(E50)+N(H50)+N(K50)+N(N50)+N(Q50)+N(T50)+N(W50)+N(Z50)+N(AC50)+N(AF50)+N(AI50)+N(AL50))</f>
        <v/>
      </c>
      <c r="AP50" s="26">
        <f>IF(A50="","",N(B50)-AO50)</f>
        <v/>
      </c>
      <c r="AQ50">
        <f>IF(A50="",0,(N(F50)&lt;0)+(N(I50)&lt;0)+(N(L50)&lt;0)+(N(O50)&lt;0)+(N(R50)&lt;0)+(N(U50)&lt;0)+(N(X50)&lt;0)+(N(AA50)&lt;0)+(N(AD50)&lt;0)+(N(AG50)&lt;0)+(N(AJ50)&lt;0)+(N(AM50)&lt;0))</f>
        <v/>
      </c>
      <c r="AR50">
        <f>IF(A50="",0,MAX(0,-N(F50))+MAX(0,-N(I50))+MAX(0,-N(L50))+MAX(0,-N(O50))+MAX(0,-N(R50))+MAX(0,-N(U50))+MAX(0,-N(X50))+MAX(0,-N(AA50))+MAX(0,-N(AD50))+MAX(0,-N(AG50))+MAX(0,-N(AJ50))+MAX(0,-N(AM50)))</f>
        <v/>
      </c>
      <c r="AS50">
        <f>IF(A50="",0,IF(OR(N(AP50)&lt;0,AQ50&gt;0),1,0))</f>
        <v/>
      </c>
      <c r="AT50">
        <f>AT49+AS50</f>
        <v/>
      </c>
      <c r="AU50">
        <f>IF(A50="",-1,N(AO50)+ROW()/10000000)</f>
        <v/>
      </c>
    </row>
    <row r="51">
      <c r="A51" s="19" t="n"/>
      <c r="B51" s="20" t="n"/>
      <c r="C51" s="21">
        <f>IF(A51="","",N(B51)/12)</f>
        <v/>
      </c>
      <c r="D51" s="22" t="n"/>
      <c r="E51" s="23">
        <f>IF($A51="","",IFERROR(SUMPRODUCT(('[1]عهد ومصروفات بدر'!$H$8:$H$5007=$A51)*('[1]عهد ومصروفات بدر'!$S$8:$S$5007=1)*'[1]عهد ومصروفات بدر'!$T$8:$T$5007),0))</f>
        <v/>
      </c>
      <c r="F51" s="24">
        <f>IF($A51="","",N(D51)-N(E51))</f>
        <v/>
      </c>
      <c r="G51" s="22" t="n"/>
      <c r="H51" s="23">
        <f>IF($A51="","",IFERROR(SUMPRODUCT(('[1]عهد ومصروفات بدر'!$H$8:$H$5007=$A51)*('[1]عهد ومصروفات بدر'!$S$8:$S$5007=2)*'[1]عهد ومصروفات بدر'!$T$8:$T$5007),0))</f>
        <v/>
      </c>
      <c r="I51" s="24">
        <f>IF($A51="","",N(G51)-N(H51))</f>
        <v/>
      </c>
      <c r="J51" s="22" t="n"/>
      <c r="K51" s="23">
        <f>IF($A51="","",IFERROR(SUMPRODUCT(('[1]عهد ومصروفات بدر'!$H$8:$H$5007=$A51)*('[1]عهد ومصروفات بدر'!$S$8:$S$5007=3)*'[1]عهد ومصروفات بدر'!$T$8:$T$5007),0))</f>
        <v/>
      </c>
      <c r="L51" s="24">
        <f>IF($A51="","",N(J51)-N(K51))</f>
        <v/>
      </c>
      <c r="M51" s="22" t="n"/>
      <c r="N51" s="23">
        <f>IF($A51="","",IFERROR(SUMPRODUCT(('[1]عهد ومصروفات بدر'!$H$8:$H$5007=$A51)*('[1]عهد ومصروفات بدر'!$S$8:$S$5007=4)*'[1]عهد ومصروفات بدر'!$T$8:$T$5007),0))</f>
        <v/>
      </c>
      <c r="O51" s="24">
        <f>IF($A51="","",N(M51)-N(N51))</f>
        <v/>
      </c>
      <c r="P51" s="22" t="n"/>
      <c r="Q51" s="23">
        <f>IF($A51="","",IFERROR(SUMPRODUCT(('[1]عهد ومصروفات بدر'!$H$8:$H$5007=$A51)*('[1]عهد ومصروفات بدر'!$S$8:$S$5007=5)*'[1]عهد ومصروفات بدر'!$T$8:$T$5007),0))</f>
        <v/>
      </c>
      <c r="R51" s="24">
        <f>IF($A51="","",N(P51)-N(Q51))</f>
        <v/>
      </c>
      <c r="S51" s="22" t="n"/>
      <c r="T51" s="23">
        <f>IF($A51="","",IFERROR(SUMPRODUCT(('[1]عهد ومصروفات بدر'!$H$8:$H$5007=$A51)*('[1]عهد ومصروفات بدر'!$S$8:$S$5007=6)*'[1]عهد ومصروفات بدر'!$T$8:$T$5007),0))</f>
        <v/>
      </c>
      <c r="U51" s="24">
        <f>IF($A51="","",N(S51)-N(T51))</f>
        <v/>
      </c>
      <c r="V51" s="22" t="n"/>
      <c r="W51" s="23">
        <f>IF($A51="","",IFERROR(SUMPRODUCT(('[1]عهد ومصروفات بدر'!$H$8:$H$5007=$A51)*('[1]عهد ومصروفات بدر'!$S$8:$S$5007=7)*'[1]عهد ومصروفات بدر'!$T$8:$T$5007),0))</f>
        <v/>
      </c>
      <c r="X51" s="24">
        <f>IF($A51="","",N(V51)-N(W51))</f>
        <v/>
      </c>
      <c r="Y51" s="22" t="n"/>
      <c r="Z51" s="23">
        <f>IF($A51="","",IFERROR(SUMPRODUCT(('[1]عهد ومصروفات بدر'!$H$8:$H$5007=$A51)*('[1]عهد ومصروفات بدر'!$S$8:$S$5007=8)*'[1]عهد ومصروفات بدر'!$T$8:$T$5007),0))</f>
        <v/>
      </c>
      <c r="AA51" s="24">
        <f>IF($A51="","",N(Y51)-N(Z51))</f>
        <v/>
      </c>
      <c r="AB51" s="22" t="n"/>
      <c r="AC51" s="23">
        <f>IF($A51="","",IFERROR(SUMPRODUCT(('[1]عهد ومصروفات بدر'!$H$8:$H$5007=$A51)*('[1]عهد ومصروفات بدر'!$S$8:$S$5007=9)*'[1]عهد ومصروفات بدر'!$T$8:$T$5007),0))</f>
        <v/>
      </c>
      <c r="AD51" s="24">
        <f>IF($A51="","",N(AB51)-N(AC51))</f>
        <v/>
      </c>
      <c r="AE51" s="22" t="n"/>
      <c r="AF51" s="23">
        <f>IF($A51="","",IFERROR(SUMPRODUCT(('[1]عهد ومصروفات بدر'!$H$8:$H$5007=$A51)*('[1]عهد ومصروفات بدر'!$S$8:$S$5007=10)*'[1]عهد ومصروفات بدر'!$T$8:$T$5007),0))</f>
        <v/>
      </c>
      <c r="AG51" s="24">
        <f>IF($A51="","",N(AE51)-N(AF51))</f>
        <v/>
      </c>
      <c r="AH51" s="22" t="n"/>
      <c r="AI51" s="23">
        <f>IF($A51="","",IFERROR(SUMPRODUCT(('[1]عهد ومصروفات بدر'!$H$8:$H$5007=$A51)*('[1]عهد ومصروفات بدر'!$S$8:$S$5007=11)*'[1]عهد ومصروفات بدر'!$T$8:$T$5007),0))</f>
        <v/>
      </c>
      <c r="AJ51" s="24">
        <f>IF($A51="","",N(AH51)-N(AI51))</f>
        <v/>
      </c>
      <c r="AK51" s="22" t="n"/>
      <c r="AL51" s="23">
        <f>IF($A51="","",IFERROR(SUMPRODUCT(('[1]عهد ومصروفات بدر'!$H$8:$H$5007=$A51)*('[1]عهد ومصروفات بدر'!$S$8:$S$5007=12)*'[1]عهد ومصروفات بدر'!$T$8:$T$5007),0))</f>
        <v/>
      </c>
      <c r="AM51" s="24">
        <f>IF($A51="","",N(AK51)-N(AL51))</f>
        <v/>
      </c>
      <c r="AN51" s="25">
        <f>IF(A51="","",N(D51)+N(G51)+N(J51)+N(M51)+N(P51)+N(S51)+N(V51)+N(Y51)+N(AB51)+N(AE51)+N(AH51)+N(AK51))</f>
        <v/>
      </c>
      <c r="AO51" s="25">
        <f>IF(A51="","",N(E51)+N(H51)+N(K51)+N(N51)+N(Q51)+N(T51)+N(W51)+N(Z51)+N(AC51)+N(AF51)+N(AI51)+N(AL51))</f>
        <v/>
      </c>
      <c r="AP51" s="26">
        <f>IF(A51="","",N(B51)-AO51)</f>
        <v/>
      </c>
      <c r="AQ51">
        <f>IF(A51="",0,(N(F51)&lt;0)+(N(I51)&lt;0)+(N(L51)&lt;0)+(N(O51)&lt;0)+(N(R51)&lt;0)+(N(U51)&lt;0)+(N(X51)&lt;0)+(N(AA51)&lt;0)+(N(AD51)&lt;0)+(N(AG51)&lt;0)+(N(AJ51)&lt;0)+(N(AM51)&lt;0))</f>
        <v/>
      </c>
      <c r="AR51">
        <f>IF(A51="",0,MAX(0,-N(F51))+MAX(0,-N(I51))+MAX(0,-N(L51))+MAX(0,-N(O51))+MAX(0,-N(R51))+MAX(0,-N(U51))+MAX(0,-N(X51))+MAX(0,-N(AA51))+MAX(0,-N(AD51))+MAX(0,-N(AG51))+MAX(0,-N(AJ51))+MAX(0,-N(AM51)))</f>
        <v/>
      </c>
      <c r="AS51">
        <f>IF(A51="",0,IF(OR(N(AP51)&lt;0,AQ51&gt;0),1,0))</f>
        <v/>
      </c>
      <c r="AT51">
        <f>AT50+AS51</f>
        <v/>
      </c>
      <c r="AU51">
        <f>IF(A51="",-1,N(AO51)+ROW()/10000000)</f>
        <v/>
      </c>
    </row>
    <row r="52">
      <c r="A52" s="19" t="n"/>
      <c r="B52" s="20" t="n"/>
      <c r="C52" s="21">
        <f>IF(A52="","",N(B52)/12)</f>
        <v/>
      </c>
      <c r="D52" s="22" t="n"/>
      <c r="E52" s="23">
        <f>IF($A52="","",IFERROR(SUMPRODUCT(('[1]عهد ومصروفات بدر'!$H$8:$H$5007=$A52)*('[1]عهد ومصروفات بدر'!$S$8:$S$5007=1)*'[1]عهد ومصروفات بدر'!$T$8:$T$5007),0))</f>
        <v/>
      </c>
      <c r="F52" s="24">
        <f>IF($A52="","",N(D52)-N(E52))</f>
        <v/>
      </c>
      <c r="G52" s="22" t="n"/>
      <c r="H52" s="23">
        <f>IF($A52="","",IFERROR(SUMPRODUCT(('[1]عهد ومصروفات بدر'!$H$8:$H$5007=$A52)*('[1]عهد ومصروفات بدر'!$S$8:$S$5007=2)*'[1]عهد ومصروفات بدر'!$T$8:$T$5007),0))</f>
        <v/>
      </c>
      <c r="I52" s="24">
        <f>IF($A52="","",N(G52)-N(H52))</f>
        <v/>
      </c>
      <c r="J52" s="22" t="n"/>
      <c r="K52" s="23">
        <f>IF($A52="","",IFERROR(SUMPRODUCT(('[1]عهد ومصروفات بدر'!$H$8:$H$5007=$A52)*('[1]عهد ومصروفات بدر'!$S$8:$S$5007=3)*'[1]عهد ومصروفات بدر'!$T$8:$T$5007),0))</f>
        <v/>
      </c>
      <c r="L52" s="24">
        <f>IF($A52="","",N(J52)-N(K52))</f>
        <v/>
      </c>
      <c r="M52" s="22" t="n"/>
      <c r="N52" s="23">
        <f>IF($A52="","",IFERROR(SUMPRODUCT(('[1]عهد ومصروفات بدر'!$H$8:$H$5007=$A52)*('[1]عهد ومصروفات بدر'!$S$8:$S$5007=4)*'[1]عهد ومصروفات بدر'!$T$8:$T$5007),0))</f>
        <v/>
      </c>
      <c r="O52" s="24">
        <f>IF($A52="","",N(M52)-N(N52))</f>
        <v/>
      </c>
      <c r="P52" s="22" t="n"/>
      <c r="Q52" s="23">
        <f>IF($A52="","",IFERROR(SUMPRODUCT(('[1]عهد ومصروفات بدر'!$H$8:$H$5007=$A52)*('[1]عهد ومصروفات بدر'!$S$8:$S$5007=5)*'[1]عهد ومصروفات بدر'!$T$8:$T$5007),0))</f>
        <v/>
      </c>
      <c r="R52" s="24">
        <f>IF($A52="","",N(P52)-N(Q52))</f>
        <v/>
      </c>
      <c r="S52" s="22" t="n"/>
      <c r="T52" s="23">
        <f>IF($A52="","",IFERROR(SUMPRODUCT(('[1]عهد ومصروفات بدر'!$H$8:$H$5007=$A52)*('[1]عهد ومصروفات بدر'!$S$8:$S$5007=6)*'[1]عهد ومصروفات بدر'!$T$8:$T$5007),0))</f>
        <v/>
      </c>
      <c r="U52" s="24">
        <f>IF($A52="","",N(S52)-N(T52))</f>
        <v/>
      </c>
      <c r="V52" s="22" t="n"/>
      <c r="W52" s="23">
        <f>IF($A52="","",IFERROR(SUMPRODUCT(('[1]عهد ومصروفات بدر'!$H$8:$H$5007=$A52)*('[1]عهد ومصروفات بدر'!$S$8:$S$5007=7)*'[1]عهد ومصروفات بدر'!$T$8:$T$5007),0))</f>
        <v/>
      </c>
      <c r="X52" s="24">
        <f>IF($A52="","",N(V52)-N(W52))</f>
        <v/>
      </c>
      <c r="Y52" s="22" t="n"/>
      <c r="Z52" s="23">
        <f>IF($A52="","",IFERROR(SUMPRODUCT(('[1]عهد ومصروفات بدر'!$H$8:$H$5007=$A52)*('[1]عهد ومصروفات بدر'!$S$8:$S$5007=8)*'[1]عهد ومصروفات بدر'!$T$8:$T$5007),0))</f>
        <v/>
      </c>
      <c r="AA52" s="24">
        <f>IF($A52="","",N(Y52)-N(Z52))</f>
        <v/>
      </c>
      <c r="AB52" s="22" t="n"/>
      <c r="AC52" s="23">
        <f>IF($A52="","",IFERROR(SUMPRODUCT(('[1]عهد ومصروفات بدر'!$H$8:$H$5007=$A52)*('[1]عهد ومصروفات بدر'!$S$8:$S$5007=9)*'[1]عهد ومصروفات بدر'!$T$8:$T$5007),0))</f>
        <v/>
      </c>
      <c r="AD52" s="24">
        <f>IF($A52="","",N(AB52)-N(AC52))</f>
        <v/>
      </c>
      <c r="AE52" s="22" t="n"/>
      <c r="AF52" s="23">
        <f>IF($A52="","",IFERROR(SUMPRODUCT(('[1]عهد ومصروفات بدر'!$H$8:$H$5007=$A52)*('[1]عهد ومصروفات بدر'!$S$8:$S$5007=10)*'[1]عهد ومصروفات بدر'!$T$8:$T$5007),0))</f>
        <v/>
      </c>
      <c r="AG52" s="24">
        <f>IF($A52="","",N(AE52)-N(AF52))</f>
        <v/>
      </c>
      <c r="AH52" s="22" t="n"/>
      <c r="AI52" s="23">
        <f>IF($A52="","",IFERROR(SUMPRODUCT(('[1]عهد ومصروفات بدر'!$H$8:$H$5007=$A52)*('[1]عهد ومصروفات بدر'!$S$8:$S$5007=11)*'[1]عهد ومصروفات بدر'!$T$8:$T$5007),0))</f>
        <v/>
      </c>
      <c r="AJ52" s="24">
        <f>IF($A52="","",N(AH52)-N(AI52))</f>
        <v/>
      </c>
      <c r="AK52" s="22" t="n"/>
      <c r="AL52" s="23">
        <f>IF($A52="","",IFERROR(SUMPRODUCT(('[1]عهد ومصروفات بدر'!$H$8:$H$5007=$A52)*('[1]عهد ومصروفات بدر'!$S$8:$S$5007=12)*'[1]عهد ومصروفات بدر'!$T$8:$T$5007),0))</f>
        <v/>
      </c>
      <c r="AM52" s="24">
        <f>IF($A52="","",N(AK52)-N(AL52))</f>
        <v/>
      </c>
      <c r="AN52" s="25">
        <f>IF(A52="","",N(D52)+N(G52)+N(J52)+N(M52)+N(P52)+N(S52)+N(V52)+N(Y52)+N(AB52)+N(AE52)+N(AH52)+N(AK52))</f>
        <v/>
      </c>
      <c r="AO52" s="25">
        <f>IF(A52="","",N(E52)+N(H52)+N(K52)+N(N52)+N(Q52)+N(T52)+N(W52)+N(Z52)+N(AC52)+N(AF52)+N(AI52)+N(AL52))</f>
        <v/>
      </c>
      <c r="AP52" s="26">
        <f>IF(A52="","",N(B52)-AO52)</f>
        <v/>
      </c>
      <c r="AQ52">
        <f>IF(A52="",0,(N(F52)&lt;0)+(N(I52)&lt;0)+(N(L52)&lt;0)+(N(O52)&lt;0)+(N(R52)&lt;0)+(N(U52)&lt;0)+(N(X52)&lt;0)+(N(AA52)&lt;0)+(N(AD52)&lt;0)+(N(AG52)&lt;0)+(N(AJ52)&lt;0)+(N(AM52)&lt;0))</f>
        <v/>
      </c>
      <c r="AR52">
        <f>IF(A52="",0,MAX(0,-N(F52))+MAX(0,-N(I52))+MAX(0,-N(L52))+MAX(0,-N(O52))+MAX(0,-N(R52))+MAX(0,-N(U52))+MAX(0,-N(X52))+MAX(0,-N(AA52))+MAX(0,-N(AD52))+MAX(0,-N(AG52))+MAX(0,-N(AJ52))+MAX(0,-N(AM52)))</f>
        <v/>
      </c>
      <c r="AS52">
        <f>IF(A52="",0,IF(OR(N(AP52)&lt;0,AQ52&gt;0),1,0))</f>
        <v/>
      </c>
      <c r="AT52">
        <f>AT51+AS52</f>
        <v/>
      </c>
      <c r="AU52">
        <f>IF(A52="",-1,N(AO52)+ROW()/10000000)</f>
        <v/>
      </c>
    </row>
    <row r="53">
      <c r="A53" s="19" t="n"/>
      <c r="B53" s="20" t="n"/>
      <c r="C53" s="21">
        <f>IF(A53="","",N(B53)/12)</f>
        <v/>
      </c>
      <c r="D53" s="22" t="n"/>
      <c r="E53" s="23">
        <f>IF($A53="","",IFERROR(SUMPRODUCT(('[1]عهد ومصروفات بدر'!$H$8:$H$5007=$A53)*('[1]عهد ومصروفات بدر'!$S$8:$S$5007=1)*'[1]عهد ومصروفات بدر'!$T$8:$T$5007),0))</f>
        <v/>
      </c>
      <c r="F53" s="24">
        <f>IF($A53="","",N(D53)-N(E53))</f>
        <v/>
      </c>
      <c r="G53" s="22" t="n"/>
      <c r="H53" s="23">
        <f>IF($A53="","",IFERROR(SUMPRODUCT(('[1]عهد ومصروفات بدر'!$H$8:$H$5007=$A53)*('[1]عهد ومصروفات بدر'!$S$8:$S$5007=2)*'[1]عهد ومصروفات بدر'!$T$8:$T$5007),0))</f>
        <v/>
      </c>
      <c r="I53" s="24">
        <f>IF($A53="","",N(G53)-N(H53))</f>
        <v/>
      </c>
      <c r="J53" s="22" t="n"/>
      <c r="K53" s="23">
        <f>IF($A53="","",IFERROR(SUMPRODUCT(('[1]عهد ومصروفات بدر'!$H$8:$H$5007=$A53)*('[1]عهد ومصروفات بدر'!$S$8:$S$5007=3)*'[1]عهد ومصروفات بدر'!$T$8:$T$5007),0))</f>
        <v/>
      </c>
      <c r="L53" s="24">
        <f>IF($A53="","",N(J53)-N(K53))</f>
        <v/>
      </c>
      <c r="M53" s="22" t="n"/>
      <c r="N53" s="23">
        <f>IF($A53="","",IFERROR(SUMPRODUCT(('[1]عهد ومصروفات بدر'!$H$8:$H$5007=$A53)*('[1]عهد ومصروفات بدر'!$S$8:$S$5007=4)*'[1]عهد ومصروفات بدر'!$T$8:$T$5007),0))</f>
        <v/>
      </c>
      <c r="O53" s="24">
        <f>IF($A53="","",N(M53)-N(N53))</f>
        <v/>
      </c>
      <c r="P53" s="22" t="n"/>
      <c r="Q53" s="23">
        <f>IF($A53="","",IFERROR(SUMPRODUCT(('[1]عهد ومصروفات بدر'!$H$8:$H$5007=$A53)*('[1]عهد ومصروفات بدر'!$S$8:$S$5007=5)*'[1]عهد ومصروفات بدر'!$T$8:$T$5007),0))</f>
        <v/>
      </c>
      <c r="R53" s="24">
        <f>IF($A53="","",N(P53)-N(Q53))</f>
        <v/>
      </c>
      <c r="S53" s="22" t="n"/>
      <c r="T53" s="23">
        <f>IF($A53="","",IFERROR(SUMPRODUCT(('[1]عهد ومصروفات بدر'!$H$8:$H$5007=$A53)*('[1]عهد ومصروفات بدر'!$S$8:$S$5007=6)*'[1]عهد ومصروفات بدر'!$T$8:$T$5007),0))</f>
        <v/>
      </c>
      <c r="U53" s="24">
        <f>IF($A53="","",N(S53)-N(T53))</f>
        <v/>
      </c>
      <c r="V53" s="22" t="n"/>
      <c r="W53" s="23">
        <f>IF($A53="","",IFERROR(SUMPRODUCT(('[1]عهد ومصروفات بدر'!$H$8:$H$5007=$A53)*('[1]عهد ومصروفات بدر'!$S$8:$S$5007=7)*'[1]عهد ومصروفات بدر'!$T$8:$T$5007),0))</f>
        <v/>
      </c>
      <c r="X53" s="24">
        <f>IF($A53="","",N(V53)-N(W53))</f>
        <v/>
      </c>
      <c r="Y53" s="22" t="n"/>
      <c r="Z53" s="23">
        <f>IF($A53="","",IFERROR(SUMPRODUCT(('[1]عهد ومصروفات بدر'!$H$8:$H$5007=$A53)*('[1]عهد ومصروفات بدر'!$S$8:$S$5007=8)*'[1]عهد ومصروفات بدر'!$T$8:$T$5007),0))</f>
        <v/>
      </c>
      <c r="AA53" s="24">
        <f>IF($A53="","",N(Y53)-N(Z53))</f>
        <v/>
      </c>
      <c r="AB53" s="22" t="n"/>
      <c r="AC53" s="23">
        <f>IF($A53="","",IFERROR(SUMPRODUCT(('[1]عهد ومصروفات بدر'!$H$8:$H$5007=$A53)*('[1]عهد ومصروفات بدر'!$S$8:$S$5007=9)*'[1]عهد ومصروفات بدر'!$T$8:$T$5007),0))</f>
        <v/>
      </c>
      <c r="AD53" s="24">
        <f>IF($A53="","",N(AB53)-N(AC53))</f>
        <v/>
      </c>
      <c r="AE53" s="22" t="n"/>
      <c r="AF53" s="23">
        <f>IF($A53="","",IFERROR(SUMPRODUCT(('[1]عهد ومصروفات بدر'!$H$8:$H$5007=$A53)*('[1]عهد ومصروفات بدر'!$S$8:$S$5007=10)*'[1]عهد ومصروفات بدر'!$T$8:$T$5007),0))</f>
        <v/>
      </c>
      <c r="AG53" s="24">
        <f>IF($A53="","",N(AE53)-N(AF53))</f>
        <v/>
      </c>
      <c r="AH53" s="22" t="n"/>
      <c r="AI53" s="23">
        <f>IF($A53="","",IFERROR(SUMPRODUCT(('[1]عهد ومصروفات بدر'!$H$8:$H$5007=$A53)*('[1]عهد ومصروفات بدر'!$S$8:$S$5007=11)*'[1]عهد ومصروفات بدر'!$T$8:$T$5007),0))</f>
        <v/>
      </c>
      <c r="AJ53" s="24">
        <f>IF($A53="","",N(AH53)-N(AI53))</f>
        <v/>
      </c>
      <c r="AK53" s="22" t="n"/>
      <c r="AL53" s="23">
        <f>IF($A53="","",IFERROR(SUMPRODUCT(('[1]عهد ومصروفات بدر'!$H$8:$H$5007=$A53)*('[1]عهد ومصروفات بدر'!$S$8:$S$5007=12)*'[1]عهد ومصروفات بدر'!$T$8:$T$5007),0))</f>
        <v/>
      </c>
      <c r="AM53" s="24">
        <f>IF($A53="","",N(AK53)-N(AL53))</f>
        <v/>
      </c>
      <c r="AN53" s="25">
        <f>IF(A53="","",N(D53)+N(G53)+N(J53)+N(M53)+N(P53)+N(S53)+N(V53)+N(Y53)+N(AB53)+N(AE53)+N(AH53)+N(AK53))</f>
        <v/>
      </c>
      <c r="AO53" s="25">
        <f>IF(A53="","",N(E53)+N(H53)+N(K53)+N(N53)+N(Q53)+N(T53)+N(W53)+N(Z53)+N(AC53)+N(AF53)+N(AI53)+N(AL53))</f>
        <v/>
      </c>
      <c r="AP53" s="26">
        <f>IF(A53="","",N(B53)-AO53)</f>
        <v/>
      </c>
      <c r="AQ53">
        <f>IF(A53="",0,(N(F53)&lt;0)+(N(I53)&lt;0)+(N(L53)&lt;0)+(N(O53)&lt;0)+(N(R53)&lt;0)+(N(U53)&lt;0)+(N(X53)&lt;0)+(N(AA53)&lt;0)+(N(AD53)&lt;0)+(N(AG53)&lt;0)+(N(AJ53)&lt;0)+(N(AM53)&lt;0))</f>
        <v/>
      </c>
      <c r="AR53">
        <f>IF(A53="",0,MAX(0,-N(F53))+MAX(0,-N(I53))+MAX(0,-N(L53))+MAX(0,-N(O53))+MAX(0,-N(R53))+MAX(0,-N(U53))+MAX(0,-N(X53))+MAX(0,-N(AA53))+MAX(0,-N(AD53))+MAX(0,-N(AG53))+MAX(0,-N(AJ53))+MAX(0,-N(AM53)))</f>
        <v/>
      </c>
      <c r="AS53">
        <f>IF(A53="",0,IF(OR(N(AP53)&lt;0,AQ53&gt;0),1,0))</f>
        <v/>
      </c>
      <c r="AT53">
        <f>AT52+AS53</f>
        <v/>
      </c>
      <c r="AU53">
        <f>IF(A53="",-1,N(AO53)+ROW()/10000000)</f>
        <v/>
      </c>
    </row>
    <row r="54">
      <c r="A54" s="19" t="n"/>
      <c r="B54" s="20" t="n"/>
      <c r="C54" s="21">
        <f>IF(A54="","",N(B54)/12)</f>
        <v/>
      </c>
      <c r="D54" s="22" t="n"/>
      <c r="E54" s="23">
        <f>IF($A54="","",IFERROR(SUMPRODUCT(('[1]عهد ومصروفات بدر'!$H$8:$H$5007=$A54)*('[1]عهد ومصروفات بدر'!$S$8:$S$5007=1)*'[1]عهد ومصروفات بدر'!$T$8:$T$5007),0))</f>
        <v/>
      </c>
      <c r="F54" s="24">
        <f>IF($A54="","",N(D54)-N(E54))</f>
        <v/>
      </c>
      <c r="G54" s="22" t="n"/>
      <c r="H54" s="23">
        <f>IF($A54="","",IFERROR(SUMPRODUCT(('[1]عهد ومصروفات بدر'!$H$8:$H$5007=$A54)*('[1]عهد ومصروفات بدر'!$S$8:$S$5007=2)*'[1]عهد ومصروفات بدر'!$T$8:$T$5007),0))</f>
        <v/>
      </c>
      <c r="I54" s="24">
        <f>IF($A54="","",N(G54)-N(H54))</f>
        <v/>
      </c>
      <c r="J54" s="22" t="n"/>
      <c r="K54" s="23">
        <f>IF($A54="","",IFERROR(SUMPRODUCT(('[1]عهد ومصروفات بدر'!$H$8:$H$5007=$A54)*('[1]عهد ومصروفات بدر'!$S$8:$S$5007=3)*'[1]عهد ومصروفات بدر'!$T$8:$T$5007),0))</f>
        <v/>
      </c>
      <c r="L54" s="24">
        <f>IF($A54="","",N(J54)-N(K54))</f>
        <v/>
      </c>
      <c r="M54" s="22" t="n"/>
      <c r="N54" s="23">
        <f>IF($A54="","",IFERROR(SUMPRODUCT(('[1]عهد ومصروفات بدر'!$H$8:$H$5007=$A54)*('[1]عهد ومصروفات بدر'!$S$8:$S$5007=4)*'[1]عهد ومصروفات بدر'!$T$8:$T$5007),0))</f>
        <v/>
      </c>
      <c r="O54" s="24">
        <f>IF($A54="","",N(M54)-N(N54))</f>
        <v/>
      </c>
      <c r="P54" s="22" t="n"/>
      <c r="Q54" s="23">
        <f>IF($A54="","",IFERROR(SUMPRODUCT(('[1]عهد ومصروفات بدر'!$H$8:$H$5007=$A54)*('[1]عهد ومصروفات بدر'!$S$8:$S$5007=5)*'[1]عهد ومصروفات بدر'!$T$8:$T$5007),0))</f>
        <v/>
      </c>
      <c r="R54" s="24">
        <f>IF($A54="","",N(P54)-N(Q54))</f>
        <v/>
      </c>
      <c r="S54" s="22" t="n"/>
      <c r="T54" s="23">
        <f>IF($A54="","",IFERROR(SUMPRODUCT(('[1]عهد ومصروفات بدر'!$H$8:$H$5007=$A54)*('[1]عهد ومصروفات بدر'!$S$8:$S$5007=6)*'[1]عهد ومصروفات بدر'!$T$8:$T$5007),0))</f>
        <v/>
      </c>
      <c r="U54" s="24">
        <f>IF($A54="","",N(S54)-N(T54))</f>
        <v/>
      </c>
      <c r="V54" s="22" t="n"/>
      <c r="W54" s="23">
        <f>IF($A54="","",IFERROR(SUMPRODUCT(('[1]عهد ومصروفات بدر'!$H$8:$H$5007=$A54)*('[1]عهد ومصروفات بدر'!$S$8:$S$5007=7)*'[1]عهد ومصروفات بدر'!$T$8:$T$5007),0))</f>
        <v/>
      </c>
      <c r="X54" s="24">
        <f>IF($A54="","",N(V54)-N(W54))</f>
        <v/>
      </c>
      <c r="Y54" s="22" t="n"/>
      <c r="Z54" s="23">
        <f>IF($A54="","",IFERROR(SUMPRODUCT(('[1]عهد ومصروفات بدر'!$H$8:$H$5007=$A54)*('[1]عهد ومصروفات بدر'!$S$8:$S$5007=8)*'[1]عهد ومصروفات بدر'!$T$8:$T$5007),0))</f>
        <v/>
      </c>
      <c r="AA54" s="24">
        <f>IF($A54="","",N(Y54)-N(Z54))</f>
        <v/>
      </c>
      <c r="AB54" s="22" t="n"/>
      <c r="AC54" s="23">
        <f>IF($A54="","",IFERROR(SUMPRODUCT(('[1]عهد ومصروفات بدر'!$H$8:$H$5007=$A54)*('[1]عهد ومصروفات بدر'!$S$8:$S$5007=9)*'[1]عهد ومصروفات بدر'!$T$8:$T$5007),0))</f>
        <v/>
      </c>
      <c r="AD54" s="24">
        <f>IF($A54="","",N(AB54)-N(AC54))</f>
        <v/>
      </c>
      <c r="AE54" s="22" t="n"/>
      <c r="AF54" s="23">
        <f>IF($A54="","",IFERROR(SUMPRODUCT(('[1]عهد ومصروفات بدر'!$H$8:$H$5007=$A54)*('[1]عهد ومصروفات بدر'!$S$8:$S$5007=10)*'[1]عهد ومصروفات بدر'!$T$8:$T$5007),0))</f>
        <v/>
      </c>
      <c r="AG54" s="24">
        <f>IF($A54="","",N(AE54)-N(AF54))</f>
        <v/>
      </c>
      <c r="AH54" s="22" t="n"/>
      <c r="AI54" s="23">
        <f>IF($A54="","",IFERROR(SUMPRODUCT(('[1]عهد ومصروفات بدر'!$H$8:$H$5007=$A54)*('[1]عهد ومصروفات بدر'!$S$8:$S$5007=11)*'[1]عهد ومصروفات بدر'!$T$8:$T$5007),0))</f>
        <v/>
      </c>
      <c r="AJ54" s="24">
        <f>IF($A54="","",N(AH54)-N(AI54))</f>
        <v/>
      </c>
      <c r="AK54" s="22" t="n"/>
      <c r="AL54" s="23">
        <f>IF($A54="","",IFERROR(SUMPRODUCT(('[1]عهد ومصروفات بدر'!$H$8:$H$5007=$A54)*('[1]عهد ومصروفات بدر'!$S$8:$S$5007=12)*'[1]عهد ومصروفات بدر'!$T$8:$T$5007),0))</f>
        <v/>
      </c>
      <c r="AM54" s="24">
        <f>IF($A54="","",N(AK54)-N(AL54))</f>
        <v/>
      </c>
      <c r="AN54" s="25">
        <f>IF(A54="","",N(D54)+N(G54)+N(J54)+N(M54)+N(P54)+N(S54)+N(V54)+N(Y54)+N(AB54)+N(AE54)+N(AH54)+N(AK54))</f>
        <v/>
      </c>
      <c r="AO54" s="25">
        <f>IF(A54="","",N(E54)+N(H54)+N(K54)+N(N54)+N(Q54)+N(T54)+N(W54)+N(Z54)+N(AC54)+N(AF54)+N(AI54)+N(AL54))</f>
        <v/>
      </c>
      <c r="AP54" s="26">
        <f>IF(A54="","",N(B54)-AO54)</f>
        <v/>
      </c>
      <c r="AQ54">
        <f>IF(A54="",0,(N(F54)&lt;0)+(N(I54)&lt;0)+(N(L54)&lt;0)+(N(O54)&lt;0)+(N(R54)&lt;0)+(N(U54)&lt;0)+(N(X54)&lt;0)+(N(AA54)&lt;0)+(N(AD54)&lt;0)+(N(AG54)&lt;0)+(N(AJ54)&lt;0)+(N(AM54)&lt;0))</f>
        <v/>
      </c>
      <c r="AR54">
        <f>IF(A54="",0,MAX(0,-N(F54))+MAX(0,-N(I54))+MAX(0,-N(L54))+MAX(0,-N(O54))+MAX(0,-N(R54))+MAX(0,-N(U54))+MAX(0,-N(X54))+MAX(0,-N(AA54))+MAX(0,-N(AD54))+MAX(0,-N(AG54))+MAX(0,-N(AJ54))+MAX(0,-N(AM54)))</f>
        <v/>
      </c>
      <c r="AS54">
        <f>IF(A54="",0,IF(OR(N(AP54)&lt;0,AQ54&gt;0),1,0))</f>
        <v/>
      </c>
      <c r="AT54">
        <f>AT53+AS54</f>
        <v/>
      </c>
      <c r="AU54">
        <f>IF(A54="",-1,N(AO54)+ROW()/10000000)</f>
        <v/>
      </c>
    </row>
    <row r="55">
      <c r="A55" s="19" t="n"/>
      <c r="B55" s="20" t="n"/>
      <c r="C55" s="21">
        <f>IF(A55="","",N(B55)/12)</f>
        <v/>
      </c>
      <c r="D55" s="22" t="n"/>
      <c r="E55" s="23">
        <f>IF($A55="","",IFERROR(SUMPRODUCT(('[1]عهد ومصروفات بدر'!$H$8:$H$5007=$A55)*('[1]عهد ومصروفات بدر'!$S$8:$S$5007=1)*'[1]عهد ومصروفات بدر'!$T$8:$T$5007),0))</f>
        <v/>
      </c>
      <c r="F55" s="24">
        <f>IF($A55="","",N(D55)-N(E55))</f>
        <v/>
      </c>
      <c r="G55" s="22" t="n"/>
      <c r="H55" s="23">
        <f>IF($A55="","",IFERROR(SUMPRODUCT(('[1]عهد ومصروفات بدر'!$H$8:$H$5007=$A55)*('[1]عهد ومصروفات بدر'!$S$8:$S$5007=2)*'[1]عهد ومصروفات بدر'!$T$8:$T$5007),0))</f>
        <v/>
      </c>
      <c r="I55" s="24">
        <f>IF($A55="","",N(G55)-N(H55))</f>
        <v/>
      </c>
      <c r="J55" s="22" t="n"/>
      <c r="K55" s="23">
        <f>IF($A55="","",IFERROR(SUMPRODUCT(('[1]عهد ومصروفات بدر'!$H$8:$H$5007=$A55)*('[1]عهد ومصروفات بدر'!$S$8:$S$5007=3)*'[1]عهد ومصروفات بدر'!$T$8:$T$5007),0))</f>
        <v/>
      </c>
      <c r="L55" s="24">
        <f>IF($A55="","",N(J55)-N(K55))</f>
        <v/>
      </c>
      <c r="M55" s="22" t="n"/>
      <c r="N55" s="23">
        <f>IF($A55="","",IFERROR(SUMPRODUCT(('[1]عهد ومصروفات بدر'!$H$8:$H$5007=$A55)*('[1]عهد ومصروفات بدر'!$S$8:$S$5007=4)*'[1]عهد ومصروفات بدر'!$T$8:$T$5007),0))</f>
        <v/>
      </c>
      <c r="O55" s="24">
        <f>IF($A55="","",N(M55)-N(N55))</f>
        <v/>
      </c>
      <c r="P55" s="22" t="n"/>
      <c r="Q55" s="23">
        <f>IF($A55="","",IFERROR(SUMPRODUCT(('[1]عهد ومصروفات بدر'!$H$8:$H$5007=$A55)*('[1]عهد ومصروفات بدر'!$S$8:$S$5007=5)*'[1]عهد ومصروفات بدر'!$T$8:$T$5007),0))</f>
        <v/>
      </c>
      <c r="R55" s="24">
        <f>IF($A55="","",N(P55)-N(Q55))</f>
        <v/>
      </c>
      <c r="S55" s="22" t="n"/>
      <c r="T55" s="23">
        <f>IF($A55="","",IFERROR(SUMPRODUCT(('[1]عهد ومصروفات بدر'!$H$8:$H$5007=$A55)*('[1]عهد ومصروفات بدر'!$S$8:$S$5007=6)*'[1]عهد ومصروفات بدر'!$T$8:$T$5007),0))</f>
        <v/>
      </c>
      <c r="U55" s="24">
        <f>IF($A55="","",N(S55)-N(T55))</f>
        <v/>
      </c>
      <c r="V55" s="22" t="n"/>
      <c r="W55" s="23">
        <f>IF($A55="","",IFERROR(SUMPRODUCT(('[1]عهد ومصروفات بدر'!$H$8:$H$5007=$A55)*('[1]عهد ومصروفات بدر'!$S$8:$S$5007=7)*'[1]عهد ومصروفات بدر'!$T$8:$T$5007),0))</f>
        <v/>
      </c>
      <c r="X55" s="24">
        <f>IF($A55="","",N(V55)-N(W55))</f>
        <v/>
      </c>
      <c r="Y55" s="22" t="n"/>
      <c r="Z55" s="23">
        <f>IF($A55="","",IFERROR(SUMPRODUCT(('[1]عهد ومصروفات بدر'!$H$8:$H$5007=$A55)*('[1]عهد ومصروفات بدر'!$S$8:$S$5007=8)*'[1]عهد ومصروفات بدر'!$T$8:$T$5007),0))</f>
        <v/>
      </c>
      <c r="AA55" s="24">
        <f>IF($A55="","",N(Y55)-N(Z55))</f>
        <v/>
      </c>
      <c r="AB55" s="22" t="n"/>
      <c r="AC55" s="23">
        <f>IF($A55="","",IFERROR(SUMPRODUCT(('[1]عهد ومصروفات بدر'!$H$8:$H$5007=$A55)*('[1]عهد ومصروفات بدر'!$S$8:$S$5007=9)*'[1]عهد ومصروفات بدر'!$T$8:$T$5007),0))</f>
        <v/>
      </c>
      <c r="AD55" s="24">
        <f>IF($A55="","",N(AB55)-N(AC55))</f>
        <v/>
      </c>
      <c r="AE55" s="22" t="n"/>
      <c r="AF55" s="23">
        <f>IF($A55="","",IFERROR(SUMPRODUCT(('[1]عهد ومصروفات بدر'!$H$8:$H$5007=$A55)*('[1]عهد ومصروفات بدر'!$S$8:$S$5007=10)*'[1]عهد ومصروفات بدر'!$T$8:$T$5007),0))</f>
        <v/>
      </c>
      <c r="AG55" s="24">
        <f>IF($A55="","",N(AE55)-N(AF55))</f>
        <v/>
      </c>
      <c r="AH55" s="22" t="n"/>
      <c r="AI55" s="23">
        <f>IF($A55="","",IFERROR(SUMPRODUCT(('[1]عهد ومصروفات بدر'!$H$8:$H$5007=$A55)*('[1]عهد ومصروفات بدر'!$S$8:$S$5007=11)*'[1]عهد ومصروفات بدر'!$T$8:$T$5007),0))</f>
        <v/>
      </c>
      <c r="AJ55" s="24">
        <f>IF($A55="","",N(AH55)-N(AI55))</f>
        <v/>
      </c>
      <c r="AK55" s="22" t="n"/>
      <c r="AL55" s="23">
        <f>IF($A55="","",IFERROR(SUMPRODUCT(('[1]عهد ومصروفات بدر'!$H$8:$H$5007=$A55)*('[1]عهد ومصروفات بدر'!$S$8:$S$5007=12)*'[1]عهد ومصروفات بدر'!$T$8:$T$5007),0))</f>
        <v/>
      </c>
      <c r="AM55" s="24">
        <f>IF($A55="","",N(AK55)-N(AL55))</f>
        <v/>
      </c>
      <c r="AN55" s="25">
        <f>IF(A55="","",N(D55)+N(G55)+N(J55)+N(M55)+N(P55)+N(S55)+N(V55)+N(Y55)+N(AB55)+N(AE55)+N(AH55)+N(AK55))</f>
        <v/>
      </c>
      <c r="AO55" s="25">
        <f>IF(A55="","",N(E55)+N(H55)+N(K55)+N(N55)+N(Q55)+N(T55)+N(W55)+N(Z55)+N(AC55)+N(AF55)+N(AI55)+N(AL55))</f>
        <v/>
      </c>
      <c r="AP55" s="26">
        <f>IF(A55="","",N(B55)-AO55)</f>
        <v/>
      </c>
      <c r="AQ55">
        <f>IF(A55="",0,(N(F55)&lt;0)+(N(I55)&lt;0)+(N(L55)&lt;0)+(N(O55)&lt;0)+(N(R55)&lt;0)+(N(U55)&lt;0)+(N(X55)&lt;0)+(N(AA55)&lt;0)+(N(AD55)&lt;0)+(N(AG55)&lt;0)+(N(AJ55)&lt;0)+(N(AM55)&lt;0))</f>
        <v/>
      </c>
      <c r="AR55">
        <f>IF(A55="",0,MAX(0,-N(F55))+MAX(0,-N(I55))+MAX(0,-N(L55))+MAX(0,-N(O55))+MAX(0,-N(R55))+MAX(0,-N(U55))+MAX(0,-N(X55))+MAX(0,-N(AA55))+MAX(0,-N(AD55))+MAX(0,-N(AG55))+MAX(0,-N(AJ55))+MAX(0,-N(AM55)))</f>
        <v/>
      </c>
      <c r="AS55">
        <f>IF(A55="",0,IF(OR(N(AP55)&lt;0,AQ55&gt;0),1,0))</f>
        <v/>
      </c>
      <c r="AT55">
        <f>AT54+AS55</f>
        <v/>
      </c>
      <c r="AU55">
        <f>IF(A55="",-1,N(AO55)+ROW()/10000000)</f>
        <v/>
      </c>
    </row>
    <row r="56">
      <c r="A56" s="19" t="n"/>
      <c r="B56" s="20" t="n"/>
      <c r="C56" s="21">
        <f>IF(A56="","",N(B56)/12)</f>
        <v/>
      </c>
      <c r="D56" s="22" t="n"/>
      <c r="E56" s="23">
        <f>IF($A56="","",IFERROR(SUMPRODUCT(('[1]عهد ومصروفات بدر'!$H$8:$H$5007=$A56)*('[1]عهد ومصروفات بدر'!$S$8:$S$5007=1)*'[1]عهد ومصروفات بدر'!$T$8:$T$5007),0))</f>
        <v/>
      </c>
      <c r="F56" s="24">
        <f>IF($A56="","",N(D56)-N(E56))</f>
        <v/>
      </c>
      <c r="G56" s="22" t="n"/>
      <c r="H56" s="23">
        <f>IF($A56="","",IFERROR(SUMPRODUCT(('[1]عهد ومصروفات بدر'!$H$8:$H$5007=$A56)*('[1]عهد ومصروفات بدر'!$S$8:$S$5007=2)*'[1]عهد ومصروفات بدر'!$T$8:$T$5007),0))</f>
        <v/>
      </c>
      <c r="I56" s="24">
        <f>IF($A56="","",N(G56)-N(H56))</f>
        <v/>
      </c>
      <c r="J56" s="22" t="n"/>
      <c r="K56" s="23">
        <f>IF($A56="","",IFERROR(SUMPRODUCT(('[1]عهد ومصروفات بدر'!$H$8:$H$5007=$A56)*('[1]عهد ومصروفات بدر'!$S$8:$S$5007=3)*'[1]عهد ومصروفات بدر'!$T$8:$T$5007),0))</f>
        <v/>
      </c>
      <c r="L56" s="24">
        <f>IF($A56="","",N(J56)-N(K56))</f>
        <v/>
      </c>
      <c r="M56" s="22" t="n"/>
      <c r="N56" s="23">
        <f>IF($A56="","",IFERROR(SUMPRODUCT(('[1]عهد ومصروفات بدر'!$H$8:$H$5007=$A56)*('[1]عهد ومصروفات بدر'!$S$8:$S$5007=4)*'[1]عهد ومصروفات بدر'!$T$8:$T$5007),0))</f>
        <v/>
      </c>
      <c r="O56" s="24">
        <f>IF($A56="","",N(M56)-N(N56))</f>
        <v/>
      </c>
      <c r="P56" s="22" t="n"/>
      <c r="Q56" s="23">
        <f>IF($A56="","",IFERROR(SUMPRODUCT(('[1]عهد ومصروفات بدر'!$H$8:$H$5007=$A56)*('[1]عهد ومصروفات بدر'!$S$8:$S$5007=5)*'[1]عهد ومصروفات بدر'!$T$8:$T$5007),0))</f>
        <v/>
      </c>
      <c r="R56" s="24">
        <f>IF($A56="","",N(P56)-N(Q56))</f>
        <v/>
      </c>
      <c r="S56" s="22" t="n"/>
      <c r="T56" s="23">
        <f>IF($A56="","",IFERROR(SUMPRODUCT(('[1]عهد ومصروفات بدر'!$H$8:$H$5007=$A56)*('[1]عهد ومصروفات بدر'!$S$8:$S$5007=6)*'[1]عهد ومصروفات بدر'!$T$8:$T$5007),0))</f>
        <v/>
      </c>
      <c r="U56" s="24">
        <f>IF($A56="","",N(S56)-N(T56))</f>
        <v/>
      </c>
      <c r="V56" s="22" t="n"/>
      <c r="W56" s="23">
        <f>IF($A56="","",IFERROR(SUMPRODUCT(('[1]عهد ومصروفات بدر'!$H$8:$H$5007=$A56)*('[1]عهد ومصروفات بدر'!$S$8:$S$5007=7)*'[1]عهد ومصروفات بدر'!$T$8:$T$5007),0))</f>
        <v/>
      </c>
      <c r="X56" s="24">
        <f>IF($A56="","",N(V56)-N(W56))</f>
        <v/>
      </c>
      <c r="Y56" s="22" t="n"/>
      <c r="Z56" s="23">
        <f>IF($A56="","",IFERROR(SUMPRODUCT(('[1]عهد ومصروفات بدر'!$H$8:$H$5007=$A56)*('[1]عهد ومصروفات بدر'!$S$8:$S$5007=8)*'[1]عهد ومصروفات بدر'!$T$8:$T$5007),0))</f>
        <v/>
      </c>
      <c r="AA56" s="24">
        <f>IF($A56="","",N(Y56)-N(Z56))</f>
        <v/>
      </c>
      <c r="AB56" s="22" t="n"/>
      <c r="AC56" s="23">
        <f>IF($A56="","",IFERROR(SUMPRODUCT(('[1]عهد ومصروفات بدر'!$H$8:$H$5007=$A56)*('[1]عهد ومصروفات بدر'!$S$8:$S$5007=9)*'[1]عهد ومصروفات بدر'!$T$8:$T$5007),0))</f>
        <v/>
      </c>
      <c r="AD56" s="24">
        <f>IF($A56="","",N(AB56)-N(AC56))</f>
        <v/>
      </c>
      <c r="AE56" s="22" t="n"/>
      <c r="AF56" s="23">
        <f>IF($A56="","",IFERROR(SUMPRODUCT(('[1]عهد ومصروفات بدر'!$H$8:$H$5007=$A56)*('[1]عهد ومصروفات بدر'!$S$8:$S$5007=10)*'[1]عهد ومصروفات بدر'!$T$8:$T$5007),0))</f>
        <v/>
      </c>
      <c r="AG56" s="24">
        <f>IF($A56="","",N(AE56)-N(AF56))</f>
        <v/>
      </c>
      <c r="AH56" s="22" t="n"/>
      <c r="AI56" s="23">
        <f>IF($A56="","",IFERROR(SUMPRODUCT(('[1]عهد ومصروفات بدر'!$H$8:$H$5007=$A56)*('[1]عهد ومصروفات بدر'!$S$8:$S$5007=11)*'[1]عهد ومصروفات بدر'!$T$8:$T$5007),0))</f>
        <v/>
      </c>
      <c r="AJ56" s="24">
        <f>IF($A56="","",N(AH56)-N(AI56))</f>
        <v/>
      </c>
      <c r="AK56" s="22" t="n"/>
      <c r="AL56" s="23">
        <f>IF($A56="","",IFERROR(SUMPRODUCT(('[1]عهد ومصروفات بدر'!$H$8:$H$5007=$A56)*('[1]عهد ومصروفات بدر'!$S$8:$S$5007=12)*'[1]عهد ومصروفات بدر'!$T$8:$T$5007),0))</f>
        <v/>
      </c>
      <c r="AM56" s="24">
        <f>IF($A56="","",N(AK56)-N(AL56))</f>
        <v/>
      </c>
      <c r="AN56" s="25">
        <f>IF(A56="","",N(D56)+N(G56)+N(J56)+N(M56)+N(P56)+N(S56)+N(V56)+N(Y56)+N(AB56)+N(AE56)+N(AH56)+N(AK56))</f>
        <v/>
      </c>
      <c r="AO56" s="25">
        <f>IF(A56="","",N(E56)+N(H56)+N(K56)+N(N56)+N(Q56)+N(T56)+N(W56)+N(Z56)+N(AC56)+N(AF56)+N(AI56)+N(AL56))</f>
        <v/>
      </c>
      <c r="AP56" s="26">
        <f>IF(A56="","",N(B56)-AO56)</f>
        <v/>
      </c>
      <c r="AQ56">
        <f>IF(A56="",0,(N(F56)&lt;0)+(N(I56)&lt;0)+(N(L56)&lt;0)+(N(O56)&lt;0)+(N(R56)&lt;0)+(N(U56)&lt;0)+(N(X56)&lt;0)+(N(AA56)&lt;0)+(N(AD56)&lt;0)+(N(AG56)&lt;0)+(N(AJ56)&lt;0)+(N(AM56)&lt;0))</f>
        <v/>
      </c>
      <c r="AR56">
        <f>IF(A56="",0,MAX(0,-N(F56))+MAX(0,-N(I56))+MAX(0,-N(L56))+MAX(0,-N(O56))+MAX(0,-N(R56))+MAX(0,-N(U56))+MAX(0,-N(X56))+MAX(0,-N(AA56))+MAX(0,-N(AD56))+MAX(0,-N(AG56))+MAX(0,-N(AJ56))+MAX(0,-N(AM56)))</f>
        <v/>
      </c>
      <c r="AS56">
        <f>IF(A56="",0,IF(OR(N(AP56)&lt;0,AQ56&gt;0),1,0))</f>
        <v/>
      </c>
      <c r="AT56">
        <f>AT55+AS56</f>
        <v/>
      </c>
      <c r="AU56">
        <f>IF(A56="",-1,N(AO56)+ROW()/10000000)</f>
        <v/>
      </c>
    </row>
    <row r="57">
      <c r="A57" s="19" t="n"/>
      <c r="B57" s="20" t="n"/>
      <c r="C57" s="21">
        <f>IF(A57="","",N(B57)/12)</f>
        <v/>
      </c>
      <c r="D57" s="22" t="n"/>
      <c r="E57" s="23">
        <f>IF($A57="","",IFERROR(SUMPRODUCT(('[1]عهد ومصروفات بدر'!$H$8:$H$5007=$A57)*('[1]عهد ومصروفات بدر'!$S$8:$S$5007=1)*'[1]عهد ومصروفات بدر'!$T$8:$T$5007),0))</f>
        <v/>
      </c>
      <c r="F57" s="24">
        <f>IF($A57="","",N(D57)-N(E57))</f>
        <v/>
      </c>
      <c r="G57" s="22" t="n"/>
      <c r="H57" s="23">
        <f>IF($A57="","",IFERROR(SUMPRODUCT(('[1]عهد ومصروفات بدر'!$H$8:$H$5007=$A57)*('[1]عهد ومصروفات بدر'!$S$8:$S$5007=2)*'[1]عهد ومصروفات بدر'!$T$8:$T$5007),0))</f>
        <v/>
      </c>
      <c r="I57" s="24">
        <f>IF($A57="","",N(G57)-N(H57))</f>
        <v/>
      </c>
      <c r="J57" s="22" t="n"/>
      <c r="K57" s="23">
        <f>IF($A57="","",IFERROR(SUMPRODUCT(('[1]عهد ومصروفات بدر'!$H$8:$H$5007=$A57)*('[1]عهد ومصروفات بدر'!$S$8:$S$5007=3)*'[1]عهد ومصروفات بدر'!$T$8:$T$5007),0))</f>
        <v/>
      </c>
      <c r="L57" s="24">
        <f>IF($A57="","",N(J57)-N(K57))</f>
        <v/>
      </c>
      <c r="M57" s="22" t="n"/>
      <c r="N57" s="23">
        <f>IF($A57="","",IFERROR(SUMPRODUCT(('[1]عهد ومصروفات بدر'!$H$8:$H$5007=$A57)*('[1]عهد ومصروفات بدر'!$S$8:$S$5007=4)*'[1]عهد ومصروفات بدر'!$T$8:$T$5007),0))</f>
        <v/>
      </c>
      <c r="O57" s="24">
        <f>IF($A57="","",N(M57)-N(N57))</f>
        <v/>
      </c>
      <c r="P57" s="22" t="n"/>
      <c r="Q57" s="23">
        <f>IF($A57="","",IFERROR(SUMPRODUCT(('[1]عهد ومصروفات بدر'!$H$8:$H$5007=$A57)*('[1]عهد ومصروفات بدر'!$S$8:$S$5007=5)*'[1]عهد ومصروفات بدر'!$T$8:$T$5007),0))</f>
        <v/>
      </c>
      <c r="R57" s="24">
        <f>IF($A57="","",N(P57)-N(Q57))</f>
        <v/>
      </c>
      <c r="S57" s="22" t="n"/>
      <c r="T57" s="23">
        <f>IF($A57="","",IFERROR(SUMPRODUCT(('[1]عهد ومصروفات بدر'!$H$8:$H$5007=$A57)*('[1]عهد ومصروفات بدر'!$S$8:$S$5007=6)*'[1]عهد ومصروفات بدر'!$T$8:$T$5007),0))</f>
        <v/>
      </c>
      <c r="U57" s="24">
        <f>IF($A57="","",N(S57)-N(T57))</f>
        <v/>
      </c>
      <c r="V57" s="22" t="n"/>
      <c r="W57" s="23">
        <f>IF($A57="","",IFERROR(SUMPRODUCT(('[1]عهد ومصروفات بدر'!$H$8:$H$5007=$A57)*('[1]عهد ومصروفات بدر'!$S$8:$S$5007=7)*'[1]عهد ومصروفات بدر'!$T$8:$T$5007),0))</f>
        <v/>
      </c>
      <c r="X57" s="24">
        <f>IF($A57="","",N(V57)-N(W57))</f>
        <v/>
      </c>
      <c r="Y57" s="22" t="n"/>
      <c r="Z57" s="23">
        <f>IF($A57="","",IFERROR(SUMPRODUCT(('[1]عهد ومصروفات بدر'!$H$8:$H$5007=$A57)*('[1]عهد ومصروفات بدر'!$S$8:$S$5007=8)*'[1]عهد ومصروفات بدر'!$T$8:$T$5007),0))</f>
        <v/>
      </c>
      <c r="AA57" s="24">
        <f>IF($A57="","",N(Y57)-N(Z57))</f>
        <v/>
      </c>
      <c r="AB57" s="22" t="n"/>
      <c r="AC57" s="23">
        <f>IF($A57="","",IFERROR(SUMPRODUCT(('[1]عهد ومصروفات بدر'!$H$8:$H$5007=$A57)*('[1]عهد ومصروفات بدر'!$S$8:$S$5007=9)*'[1]عهد ومصروفات بدر'!$T$8:$T$5007),0))</f>
        <v/>
      </c>
      <c r="AD57" s="24">
        <f>IF($A57="","",N(AB57)-N(AC57))</f>
        <v/>
      </c>
      <c r="AE57" s="22" t="n"/>
      <c r="AF57" s="23">
        <f>IF($A57="","",IFERROR(SUMPRODUCT(('[1]عهد ومصروفات بدر'!$H$8:$H$5007=$A57)*('[1]عهد ومصروفات بدر'!$S$8:$S$5007=10)*'[1]عهد ومصروفات بدر'!$T$8:$T$5007),0))</f>
        <v/>
      </c>
      <c r="AG57" s="24">
        <f>IF($A57="","",N(AE57)-N(AF57))</f>
        <v/>
      </c>
      <c r="AH57" s="22" t="n"/>
      <c r="AI57" s="23">
        <f>IF($A57="","",IFERROR(SUMPRODUCT(('[1]عهد ومصروفات بدر'!$H$8:$H$5007=$A57)*('[1]عهد ومصروفات بدر'!$S$8:$S$5007=11)*'[1]عهد ومصروفات بدر'!$T$8:$T$5007),0))</f>
        <v/>
      </c>
      <c r="AJ57" s="24">
        <f>IF($A57="","",N(AH57)-N(AI57))</f>
        <v/>
      </c>
      <c r="AK57" s="22" t="n"/>
      <c r="AL57" s="23">
        <f>IF($A57="","",IFERROR(SUMPRODUCT(('[1]عهد ومصروفات بدر'!$H$8:$H$5007=$A57)*('[1]عهد ومصروفات بدر'!$S$8:$S$5007=12)*'[1]عهد ومصروفات بدر'!$T$8:$T$5007),0))</f>
        <v/>
      </c>
      <c r="AM57" s="24">
        <f>IF($A57="","",N(AK57)-N(AL57))</f>
        <v/>
      </c>
      <c r="AN57" s="25">
        <f>IF(A57="","",N(D57)+N(G57)+N(J57)+N(M57)+N(P57)+N(S57)+N(V57)+N(Y57)+N(AB57)+N(AE57)+N(AH57)+N(AK57))</f>
        <v/>
      </c>
      <c r="AO57" s="25">
        <f>IF(A57="","",N(E57)+N(H57)+N(K57)+N(N57)+N(Q57)+N(T57)+N(W57)+N(Z57)+N(AC57)+N(AF57)+N(AI57)+N(AL57))</f>
        <v/>
      </c>
      <c r="AP57" s="26">
        <f>IF(A57="","",N(B57)-AO57)</f>
        <v/>
      </c>
      <c r="AQ57">
        <f>IF(A57="",0,(N(F57)&lt;0)+(N(I57)&lt;0)+(N(L57)&lt;0)+(N(O57)&lt;0)+(N(R57)&lt;0)+(N(U57)&lt;0)+(N(X57)&lt;0)+(N(AA57)&lt;0)+(N(AD57)&lt;0)+(N(AG57)&lt;0)+(N(AJ57)&lt;0)+(N(AM57)&lt;0))</f>
        <v/>
      </c>
      <c r="AR57">
        <f>IF(A57="",0,MAX(0,-N(F57))+MAX(0,-N(I57))+MAX(0,-N(L57))+MAX(0,-N(O57))+MAX(0,-N(R57))+MAX(0,-N(U57))+MAX(0,-N(X57))+MAX(0,-N(AA57))+MAX(0,-N(AD57))+MAX(0,-N(AG57))+MAX(0,-N(AJ57))+MAX(0,-N(AM57)))</f>
        <v/>
      </c>
      <c r="AS57">
        <f>IF(A57="",0,IF(OR(N(AP57)&lt;0,AQ57&gt;0),1,0))</f>
        <v/>
      </c>
      <c r="AT57">
        <f>AT56+AS57</f>
        <v/>
      </c>
      <c r="AU57">
        <f>IF(A57="",-1,N(AO57)+ROW()/10000000)</f>
        <v/>
      </c>
    </row>
    <row r="58">
      <c r="A58" s="19" t="n"/>
      <c r="B58" s="20" t="n"/>
      <c r="C58" s="21">
        <f>IF(A58="","",N(B58)/12)</f>
        <v/>
      </c>
      <c r="D58" s="22" t="n"/>
      <c r="E58" s="23">
        <f>IF($A58="","",IFERROR(SUMPRODUCT(('[1]عهد ومصروفات بدر'!$H$8:$H$5007=$A58)*('[1]عهد ومصروفات بدر'!$S$8:$S$5007=1)*'[1]عهد ومصروفات بدر'!$T$8:$T$5007),0))</f>
        <v/>
      </c>
      <c r="F58" s="24">
        <f>IF($A58="","",N(D58)-N(E58))</f>
        <v/>
      </c>
      <c r="G58" s="22" t="n"/>
      <c r="H58" s="23">
        <f>IF($A58="","",IFERROR(SUMPRODUCT(('[1]عهد ومصروفات بدر'!$H$8:$H$5007=$A58)*('[1]عهد ومصروفات بدر'!$S$8:$S$5007=2)*'[1]عهد ومصروفات بدر'!$T$8:$T$5007),0))</f>
        <v/>
      </c>
      <c r="I58" s="24">
        <f>IF($A58="","",N(G58)-N(H58))</f>
        <v/>
      </c>
      <c r="J58" s="22" t="n"/>
      <c r="K58" s="23">
        <f>IF($A58="","",IFERROR(SUMPRODUCT(('[1]عهد ومصروفات بدر'!$H$8:$H$5007=$A58)*('[1]عهد ومصروفات بدر'!$S$8:$S$5007=3)*'[1]عهد ومصروفات بدر'!$T$8:$T$5007),0))</f>
        <v/>
      </c>
      <c r="L58" s="24">
        <f>IF($A58="","",N(J58)-N(K58))</f>
        <v/>
      </c>
      <c r="M58" s="22" t="n"/>
      <c r="N58" s="23">
        <f>IF($A58="","",IFERROR(SUMPRODUCT(('[1]عهد ومصروفات بدر'!$H$8:$H$5007=$A58)*('[1]عهد ومصروفات بدر'!$S$8:$S$5007=4)*'[1]عهد ومصروفات بدر'!$T$8:$T$5007),0))</f>
        <v/>
      </c>
      <c r="O58" s="24">
        <f>IF($A58="","",N(M58)-N(N58))</f>
        <v/>
      </c>
      <c r="P58" s="22" t="n"/>
      <c r="Q58" s="23">
        <f>IF($A58="","",IFERROR(SUMPRODUCT(('[1]عهد ومصروفات بدر'!$H$8:$H$5007=$A58)*('[1]عهد ومصروفات بدر'!$S$8:$S$5007=5)*'[1]عهد ومصروفات بدر'!$T$8:$T$5007),0))</f>
        <v/>
      </c>
      <c r="R58" s="24">
        <f>IF($A58="","",N(P58)-N(Q58))</f>
        <v/>
      </c>
      <c r="S58" s="22" t="n"/>
      <c r="T58" s="23">
        <f>IF($A58="","",IFERROR(SUMPRODUCT(('[1]عهد ومصروفات بدر'!$H$8:$H$5007=$A58)*('[1]عهد ومصروفات بدر'!$S$8:$S$5007=6)*'[1]عهد ومصروفات بدر'!$T$8:$T$5007),0))</f>
        <v/>
      </c>
      <c r="U58" s="24">
        <f>IF($A58="","",N(S58)-N(T58))</f>
        <v/>
      </c>
      <c r="V58" s="22" t="n"/>
      <c r="W58" s="23">
        <f>IF($A58="","",IFERROR(SUMPRODUCT(('[1]عهد ومصروفات بدر'!$H$8:$H$5007=$A58)*('[1]عهد ومصروفات بدر'!$S$8:$S$5007=7)*'[1]عهد ومصروفات بدر'!$T$8:$T$5007),0))</f>
        <v/>
      </c>
      <c r="X58" s="24">
        <f>IF($A58="","",N(V58)-N(W58))</f>
        <v/>
      </c>
      <c r="Y58" s="22" t="n"/>
      <c r="Z58" s="23">
        <f>IF($A58="","",IFERROR(SUMPRODUCT(('[1]عهد ومصروفات بدر'!$H$8:$H$5007=$A58)*('[1]عهد ومصروفات بدر'!$S$8:$S$5007=8)*'[1]عهد ومصروفات بدر'!$T$8:$T$5007),0))</f>
        <v/>
      </c>
      <c r="AA58" s="24">
        <f>IF($A58="","",N(Y58)-N(Z58))</f>
        <v/>
      </c>
      <c r="AB58" s="22" t="n"/>
      <c r="AC58" s="23">
        <f>IF($A58="","",IFERROR(SUMPRODUCT(('[1]عهد ومصروفات بدر'!$H$8:$H$5007=$A58)*('[1]عهد ومصروفات بدر'!$S$8:$S$5007=9)*'[1]عهد ومصروفات بدر'!$T$8:$T$5007),0))</f>
        <v/>
      </c>
      <c r="AD58" s="24">
        <f>IF($A58="","",N(AB58)-N(AC58))</f>
        <v/>
      </c>
      <c r="AE58" s="22" t="n"/>
      <c r="AF58" s="23">
        <f>IF($A58="","",IFERROR(SUMPRODUCT(('[1]عهد ومصروفات بدر'!$H$8:$H$5007=$A58)*('[1]عهد ومصروفات بدر'!$S$8:$S$5007=10)*'[1]عهد ومصروفات بدر'!$T$8:$T$5007),0))</f>
        <v/>
      </c>
      <c r="AG58" s="24">
        <f>IF($A58="","",N(AE58)-N(AF58))</f>
        <v/>
      </c>
      <c r="AH58" s="22" t="n"/>
      <c r="AI58" s="23">
        <f>IF($A58="","",IFERROR(SUMPRODUCT(('[1]عهد ومصروفات بدر'!$H$8:$H$5007=$A58)*('[1]عهد ومصروفات بدر'!$S$8:$S$5007=11)*'[1]عهد ومصروفات بدر'!$T$8:$T$5007),0))</f>
        <v/>
      </c>
      <c r="AJ58" s="24">
        <f>IF($A58="","",N(AH58)-N(AI58))</f>
        <v/>
      </c>
      <c r="AK58" s="22" t="n"/>
      <c r="AL58" s="23">
        <f>IF($A58="","",IFERROR(SUMPRODUCT(('[1]عهد ومصروفات بدر'!$H$8:$H$5007=$A58)*('[1]عهد ومصروفات بدر'!$S$8:$S$5007=12)*'[1]عهد ومصروفات بدر'!$T$8:$T$5007),0))</f>
        <v/>
      </c>
      <c r="AM58" s="24">
        <f>IF($A58="","",N(AK58)-N(AL58))</f>
        <v/>
      </c>
      <c r="AN58" s="25">
        <f>IF(A58="","",N(D58)+N(G58)+N(J58)+N(M58)+N(P58)+N(S58)+N(V58)+N(Y58)+N(AB58)+N(AE58)+N(AH58)+N(AK58))</f>
        <v/>
      </c>
      <c r="AO58" s="25">
        <f>IF(A58="","",N(E58)+N(H58)+N(K58)+N(N58)+N(Q58)+N(T58)+N(W58)+N(Z58)+N(AC58)+N(AF58)+N(AI58)+N(AL58))</f>
        <v/>
      </c>
      <c r="AP58" s="26">
        <f>IF(A58="","",N(B58)-AO58)</f>
        <v/>
      </c>
      <c r="AQ58">
        <f>IF(A58="",0,(N(F58)&lt;0)+(N(I58)&lt;0)+(N(L58)&lt;0)+(N(O58)&lt;0)+(N(R58)&lt;0)+(N(U58)&lt;0)+(N(X58)&lt;0)+(N(AA58)&lt;0)+(N(AD58)&lt;0)+(N(AG58)&lt;0)+(N(AJ58)&lt;0)+(N(AM58)&lt;0))</f>
        <v/>
      </c>
      <c r="AR58">
        <f>IF(A58="",0,MAX(0,-N(F58))+MAX(0,-N(I58))+MAX(0,-N(L58))+MAX(0,-N(O58))+MAX(0,-N(R58))+MAX(0,-N(U58))+MAX(0,-N(X58))+MAX(0,-N(AA58))+MAX(0,-N(AD58))+MAX(0,-N(AG58))+MAX(0,-N(AJ58))+MAX(0,-N(AM58)))</f>
        <v/>
      </c>
      <c r="AS58">
        <f>IF(A58="",0,IF(OR(N(AP58)&lt;0,AQ58&gt;0),1,0))</f>
        <v/>
      </c>
      <c r="AT58">
        <f>AT57+AS58</f>
        <v/>
      </c>
      <c r="AU58">
        <f>IF(A58="",-1,N(AO58)+ROW()/10000000)</f>
        <v/>
      </c>
    </row>
    <row r="59">
      <c r="A59" s="19" t="n"/>
      <c r="B59" s="20" t="n"/>
      <c r="C59" s="21">
        <f>IF(A59="","",N(B59)/12)</f>
        <v/>
      </c>
      <c r="D59" s="22" t="n"/>
      <c r="E59" s="23">
        <f>IF($A59="","",IFERROR(SUMPRODUCT(('[1]عهد ومصروفات بدر'!$H$8:$H$5007=$A59)*('[1]عهد ومصروفات بدر'!$S$8:$S$5007=1)*'[1]عهد ومصروفات بدر'!$T$8:$T$5007),0))</f>
        <v/>
      </c>
      <c r="F59" s="24">
        <f>IF($A59="","",N(D59)-N(E59))</f>
        <v/>
      </c>
      <c r="G59" s="22" t="n"/>
      <c r="H59" s="23">
        <f>IF($A59="","",IFERROR(SUMPRODUCT(('[1]عهد ومصروفات بدر'!$H$8:$H$5007=$A59)*('[1]عهد ومصروفات بدر'!$S$8:$S$5007=2)*'[1]عهد ومصروفات بدر'!$T$8:$T$5007),0))</f>
        <v/>
      </c>
      <c r="I59" s="24">
        <f>IF($A59="","",N(G59)-N(H59))</f>
        <v/>
      </c>
      <c r="J59" s="22" t="n"/>
      <c r="K59" s="23">
        <f>IF($A59="","",IFERROR(SUMPRODUCT(('[1]عهد ومصروفات بدر'!$H$8:$H$5007=$A59)*('[1]عهد ومصروفات بدر'!$S$8:$S$5007=3)*'[1]عهد ومصروفات بدر'!$T$8:$T$5007),0))</f>
        <v/>
      </c>
      <c r="L59" s="24">
        <f>IF($A59="","",N(J59)-N(K59))</f>
        <v/>
      </c>
      <c r="M59" s="22" t="n"/>
      <c r="N59" s="23">
        <f>IF($A59="","",IFERROR(SUMPRODUCT(('[1]عهد ومصروفات بدر'!$H$8:$H$5007=$A59)*('[1]عهد ومصروفات بدر'!$S$8:$S$5007=4)*'[1]عهد ومصروفات بدر'!$T$8:$T$5007),0))</f>
        <v/>
      </c>
      <c r="O59" s="24">
        <f>IF($A59="","",N(M59)-N(N59))</f>
        <v/>
      </c>
      <c r="P59" s="22" t="n"/>
      <c r="Q59" s="23">
        <f>IF($A59="","",IFERROR(SUMPRODUCT(('[1]عهد ومصروفات بدر'!$H$8:$H$5007=$A59)*('[1]عهد ومصروفات بدر'!$S$8:$S$5007=5)*'[1]عهد ومصروفات بدر'!$T$8:$T$5007),0))</f>
        <v/>
      </c>
      <c r="R59" s="24">
        <f>IF($A59="","",N(P59)-N(Q59))</f>
        <v/>
      </c>
      <c r="S59" s="22" t="n"/>
      <c r="T59" s="23">
        <f>IF($A59="","",IFERROR(SUMPRODUCT(('[1]عهد ومصروفات بدر'!$H$8:$H$5007=$A59)*('[1]عهد ومصروفات بدر'!$S$8:$S$5007=6)*'[1]عهد ومصروفات بدر'!$T$8:$T$5007),0))</f>
        <v/>
      </c>
      <c r="U59" s="24">
        <f>IF($A59="","",N(S59)-N(T59))</f>
        <v/>
      </c>
      <c r="V59" s="22" t="n"/>
      <c r="W59" s="23">
        <f>IF($A59="","",IFERROR(SUMPRODUCT(('[1]عهد ومصروفات بدر'!$H$8:$H$5007=$A59)*('[1]عهد ومصروفات بدر'!$S$8:$S$5007=7)*'[1]عهد ومصروفات بدر'!$T$8:$T$5007),0))</f>
        <v/>
      </c>
      <c r="X59" s="24">
        <f>IF($A59="","",N(V59)-N(W59))</f>
        <v/>
      </c>
      <c r="Y59" s="22" t="n"/>
      <c r="Z59" s="23">
        <f>IF($A59="","",IFERROR(SUMPRODUCT(('[1]عهد ومصروفات بدر'!$H$8:$H$5007=$A59)*('[1]عهد ومصروفات بدر'!$S$8:$S$5007=8)*'[1]عهد ومصروفات بدر'!$T$8:$T$5007),0))</f>
        <v/>
      </c>
      <c r="AA59" s="24">
        <f>IF($A59="","",N(Y59)-N(Z59))</f>
        <v/>
      </c>
      <c r="AB59" s="22" t="n"/>
      <c r="AC59" s="23">
        <f>IF($A59="","",IFERROR(SUMPRODUCT(('[1]عهد ومصروفات بدر'!$H$8:$H$5007=$A59)*('[1]عهد ومصروفات بدر'!$S$8:$S$5007=9)*'[1]عهد ومصروفات بدر'!$T$8:$T$5007),0))</f>
        <v/>
      </c>
      <c r="AD59" s="24">
        <f>IF($A59="","",N(AB59)-N(AC59))</f>
        <v/>
      </c>
      <c r="AE59" s="22" t="n"/>
      <c r="AF59" s="23">
        <f>IF($A59="","",IFERROR(SUMPRODUCT(('[1]عهد ومصروفات بدر'!$H$8:$H$5007=$A59)*('[1]عهد ومصروفات بدر'!$S$8:$S$5007=10)*'[1]عهد ومصروفات بدر'!$T$8:$T$5007),0))</f>
        <v/>
      </c>
      <c r="AG59" s="24">
        <f>IF($A59="","",N(AE59)-N(AF59))</f>
        <v/>
      </c>
      <c r="AH59" s="22" t="n"/>
      <c r="AI59" s="23">
        <f>IF($A59="","",IFERROR(SUMPRODUCT(('[1]عهد ومصروفات بدر'!$H$8:$H$5007=$A59)*('[1]عهد ومصروفات بدر'!$S$8:$S$5007=11)*'[1]عهد ومصروفات بدر'!$T$8:$T$5007),0))</f>
        <v/>
      </c>
      <c r="AJ59" s="24">
        <f>IF($A59="","",N(AH59)-N(AI59))</f>
        <v/>
      </c>
      <c r="AK59" s="22" t="n"/>
      <c r="AL59" s="23">
        <f>IF($A59="","",IFERROR(SUMPRODUCT(('[1]عهد ومصروفات بدر'!$H$8:$H$5007=$A59)*('[1]عهد ومصروفات بدر'!$S$8:$S$5007=12)*'[1]عهد ومصروفات بدر'!$T$8:$T$5007),0))</f>
        <v/>
      </c>
      <c r="AM59" s="24">
        <f>IF($A59="","",N(AK59)-N(AL59))</f>
        <v/>
      </c>
      <c r="AN59" s="25">
        <f>IF(A59="","",N(D59)+N(G59)+N(J59)+N(M59)+N(P59)+N(S59)+N(V59)+N(Y59)+N(AB59)+N(AE59)+N(AH59)+N(AK59))</f>
        <v/>
      </c>
      <c r="AO59" s="25">
        <f>IF(A59="","",N(E59)+N(H59)+N(K59)+N(N59)+N(Q59)+N(T59)+N(W59)+N(Z59)+N(AC59)+N(AF59)+N(AI59)+N(AL59))</f>
        <v/>
      </c>
      <c r="AP59" s="26">
        <f>IF(A59="","",N(B59)-AO59)</f>
        <v/>
      </c>
      <c r="AQ59">
        <f>IF(A59="",0,(N(F59)&lt;0)+(N(I59)&lt;0)+(N(L59)&lt;0)+(N(O59)&lt;0)+(N(R59)&lt;0)+(N(U59)&lt;0)+(N(X59)&lt;0)+(N(AA59)&lt;0)+(N(AD59)&lt;0)+(N(AG59)&lt;0)+(N(AJ59)&lt;0)+(N(AM59)&lt;0))</f>
        <v/>
      </c>
      <c r="AR59">
        <f>IF(A59="",0,MAX(0,-N(F59))+MAX(0,-N(I59))+MAX(0,-N(L59))+MAX(0,-N(O59))+MAX(0,-N(R59))+MAX(0,-N(U59))+MAX(0,-N(X59))+MAX(0,-N(AA59))+MAX(0,-N(AD59))+MAX(0,-N(AG59))+MAX(0,-N(AJ59))+MAX(0,-N(AM59)))</f>
        <v/>
      </c>
      <c r="AS59">
        <f>IF(A59="",0,IF(OR(N(AP59)&lt;0,AQ59&gt;0),1,0))</f>
        <v/>
      </c>
      <c r="AT59">
        <f>AT58+AS59</f>
        <v/>
      </c>
      <c r="AU59">
        <f>IF(A59="",-1,N(AO59)+ROW()/10000000)</f>
        <v/>
      </c>
    </row>
    <row r="60">
      <c r="A60" s="19" t="n"/>
      <c r="B60" s="20" t="n"/>
      <c r="C60" s="21">
        <f>IF(A60="","",N(B60)/12)</f>
        <v/>
      </c>
      <c r="D60" s="22" t="n"/>
      <c r="E60" s="23">
        <f>IF($A60="","",IFERROR(SUMPRODUCT(('[1]عهد ومصروفات بدر'!$H$8:$H$5007=$A60)*('[1]عهد ومصروفات بدر'!$S$8:$S$5007=1)*'[1]عهد ومصروفات بدر'!$T$8:$T$5007),0))</f>
        <v/>
      </c>
      <c r="F60" s="24">
        <f>IF($A60="","",N(D60)-N(E60))</f>
        <v/>
      </c>
      <c r="G60" s="22" t="n"/>
      <c r="H60" s="23">
        <f>IF($A60="","",IFERROR(SUMPRODUCT(('[1]عهد ومصروفات بدر'!$H$8:$H$5007=$A60)*('[1]عهد ومصروفات بدر'!$S$8:$S$5007=2)*'[1]عهد ومصروفات بدر'!$T$8:$T$5007),0))</f>
        <v/>
      </c>
      <c r="I60" s="24">
        <f>IF($A60="","",N(G60)-N(H60))</f>
        <v/>
      </c>
      <c r="J60" s="22" t="n"/>
      <c r="K60" s="23">
        <f>IF($A60="","",IFERROR(SUMPRODUCT(('[1]عهد ومصروفات بدر'!$H$8:$H$5007=$A60)*('[1]عهد ومصروفات بدر'!$S$8:$S$5007=3)*'[1]عهد ومصروفات بدر'!$T$8:$T$5007),0))</f>
        <v/>
      </c>
      <c r="L60" s="24">
        <f>IF($A60="","",N(J60)-N(K60))</f>
        <v/>
      </c>
      <c r="M60" s="22" t="n"/>
      <c r="N60" s="23">
        <f>IF($A60="","",IFERROR(SUMPRODUCT(('[1]عهد ومصروفات بدر'!$H$8:$H$5007=$A60)*('[1]عهد ومصروفات بدر'!$S$8:$S$5007=4)*'[1]عهد ومصروفات بدر'!$T$8:$T$5007),0))</f>
        <v/>
      </c>
      <c r="O60" s="24">
        <f>IF($A60="","",N(M60)-N(N60))</f>
        <v/>
      </c>
      <c r="P60" s="22" t="n"/>
      <c r="Q60" s="23">
        <f>IF($A60="","",IFERROR(SUMPRODUCT(('[1]عهد ومصروفات بدر'!$H$8:$H$5007=$A60)*('[1]عهد ومصروفات بدر'!$S$8:$S$5007=5)*'[1]عهد ومصروفات بدر'!$T$8:$T$5007),0))</f>
        <v/>
      </c>
      <c r="R60" s="24">
        <f>IF($A60="","",N(P60)-N(Q60))</f>
        <v/>
      </c>
      <c r="S60" s="22" t="n"/>
      <c r="T60" s="23">
        <f>IF($A60="","",IFERROR(SUMPRODUCT(('[1]عهد ومصروفات بدر'!$H$8:$H$5007=$A60)*('[1]عهد ومصروفات بدر'!$S$8:$S$5007=6)*'[1]عهد ومصروفات بدر'!$T$8:$T$5007),0))</f>
        <v/>
      </c>
      <c r="U60" s="24">
        <f>IF($A60="","",N(S60)-N(T60))</f>
        <v/>
      </c>
      <c r="V60" s="22" t="n"/>
      <c r="W60" s="23">
        <f>IF($A60="","",IFERROR(SUMPRODUCT(('[1]عهد ومصروفات بدر'!$H$8:$H$5007=$A60)*('[1]عهد ومصروفات بدر'!$S$8:$S$5007=7)*'[1]عهد ومصروفات بدر'!$T$8:$T$5007),0))</f>
        <v/>
      </c>
      <c r="X60" s="24">
        <f>IF($A60="","",N(V60)-N(W60))</f>
        <v/>
      </c>
      <c r="Y60" s="22" t="n"/>
      <c r="Z60" s="23">
        <f>IF($A60="","",IFERROR(SUMPRODUCT(('[1]عهد ومصروفات بدر'!$H$8:$H$5007=$A60)*('[1]عهد ومصروفات بدر'!$S$8:$S$5007=8)*'[1]عهد ومصروفات بدر'!$T$8:$T$5007),0))</f>
        <v/>
      </c>
      <c r="AA60" s="24">
        <f>IF($A60="","",N(Y60)-N(Z60))</f>
        <v/>
      </c>
      <c r="AB60" s="22" t="n"/>
      <c r="AC60" s="23">
        <f>IF($A60="","",IFERROR(SUMPRODUCT(('[1]عهد ومصروفات بدر'!$H$8:$H$5007=$A60)*('[1]عهد ومصروفات بدر'!$S$8:$S$5007=9)*'[1]عهد ومصروفات بدر'!$T$8:$T$5007),0))</f>
        <v/>
      </c>
      <c r="AD60" s="24">
        <f>IF($A60="","",N(AB60)-N(AC60))</f>
        <v/>
      </c>
      <c r="AE60" s="22" t="n"/>
      <c r="AF60" s="23">
        <f>IF($A60="","",IFERROR(SUMPRODUCT(('[1]عهد ومصروفات بدر'!$H$8:$H$5007=$A60)*('[1]عهد ومصروفات بدر'!$S$8:$S$5007=10)*'[1]عهد ومصروفات بدر'!$T$8:$T$5007),0))</f>
        <v/>
      </c>
      <c r="AG60" s="24">
        <f>IF($A60="","",N(AE60)-N(AF60))</f>
        <v/>
      </c>
      <c r="AH60" s="22" t="n"/>
      <c r="AI60" s="23">
        <f>IF($A60="","",IFERROR(SUMPRODUCT(('[1]عهد ومصروفات بدر'!$H$8:$H$5007=$A60)*('[1]عهد ومصروفات بدر'!$S$8:$S$5007=11)*'[1]عهد ومصروفات بدر'!$T$8:$T$5007),0))</f>
        <v/>
      </c>
      <c r="AJ60" s="24">
        <f>IF($A60="","",N(AH60)-N(AI60))</f>
        <v/>
      </c>
      <c r="AK60" s="22" t="n"/>
      <c r="AL60" s="23">
        <f>IF($A60="","",IFERROR(SUMPRODUCT(('[1]عهد ومصروفات بدر'!$H$8:$H$5007=$A60)*('[1]عهد ومصروفات بدر'!$S$8:$S$5007=12)*'[1]عهد ومصروفات بدر'!$T$8:$T$5007),0))</f>
        <v/>
      </c>
      <c r="AM60" s="24">
        <f>IF($A60="","",N(AK60)-N(AL60))</f>
        <v/>
      </c>
      <c r="AN60" s="25">
        <f>IF(A60="","",N(D60)+N(G60)+N(J60)+N(M60)+N(P60)+N(S60)+N(V60)+N(Y60)+N(AB60)+N(AE60)+N(AH60)+N(AK60))</f>
        <v/>
      </c>
      <c r="AO60" s="25">
        <f>IF(A60="","",N(E60)+N(H60)+N(K60)+N(N60)+N(Q60)+N(T60)+N(W60)+N(Z60)+N(AC60)+N(AF60)+N(AI60)+N(AL60))</f>
        <v/>
      </c>
      <c r="AP60" s="26">
        <f>IF(A60="","",N(B60)-AO60)</f>
        <v/>
      </c>
      <c r="AQ60">
        <f>IF(A60="",0,(N(F60)&lt;0)+(N(I60)&lt;0)+(N(L60)&lt;0)+(N(O60)&lt;0)+(N(R60)&lt;0)+(N(U60)&lt;0)+(N(X60)&lt;0)+(N(AA60)&lt;0)+(N(AD60)&lt;0)+(N(AG60)&lt;0)+(N(AJ60)&lt;0)+(N(AM60)&lt;0))</f>
        <v/>
      </c>
      <c r="AR60">
        <f>IF(A60="",0,MAX(0,-N(F60))+MAX(0,-N(I60))+MAX(0,-N(L60))+MAX(0,-N(O60))+MAX(0,-N(R60))+MAX(0,-N(U60))+MAX(0,-N(X60))+MAX(0,-N(AA60))+MAX(0,-N(AD60))+MAX(0,-N(AG60))+MAX(0,-N(AJ60))+MAX(0,-N(AM60)))</f>
        <v/>
      </c>
      <c r="AS60">
        <f>IF(A60="",0,IF(OR(N(AP60)&lt;0,AQ60&gt;0),1,0))</f>
        <v/>
      </c>
      <c r="AT60">
        <f>AT59+AS60</f>
        <v/>
      </c>
      <c r="AU60">
        <f>IF(A60="",-1,N(AO60)+ROW()/10000000)</f>
        <v/>
      </c>
    </row>
    <row r="61">
      <c r="A61" s="19" t="n"/>
      <c r="B61" s="20" t="n"/>
      <c r="C61" s="21">
        <f>IF(A61="","",N(B61)/12)</f>
        <v/>
      </c>
      <c r="D61" s="22" t="n"/>
      <c r="E61" s="23">
        <f>IF($A61="","",IFERROR(SUMPRODUCT(('[1]عهد ومصروفات بدر'!$H$8:$H$5007=$A61)*('[1]عهد ومصروفات بدر'!$S$8:$S$5007=1)*'[1]عهد ومصروفات بدر'!$T$8:$T$5007),0))</f>
        <v/>
      </c>
      <c r="F61" s="24">
        <f>IF($A61="","",N(D61)-N(E61))</f>
        <v/>
      </c>
      <c r="G61" s="22" t="n"/>
      <c r="H61" s="23">
        <f>IF($A61="","",IFERROR(SUMPRODUCT(('[1]عهد ومصروفات بدر'!$H$8:$H$5007=$A61)*('[1]عهد ومصروفات بدر'!$S$8:$S$5007=2)*'[1]عهد ومصروفات بدر'!$T$8:$T$5007),0))</f>
        <v/>
      </c>
      <c r="I61" s="24">
        <f>IF($A61="","",N(G61)-N(H61))</f>
        <v/>
      </c>
      <c r="J61" s="22" t="n"/>
      <c r="K61" s="23">
        <f>IF($A61="","",IFERROR(SUMPRODUCT(('[1]عهد ومصروفات بدر'!$H$8:$H$5007=$A61)*('[1]عهد ومصروفات بدر'!$S$8:$S$5007=3)*'[1]عهد ومصروفات بدر'!$T$8:$T$5007),0))</f>
        <v/>
      </c>
      <c r="L61" s="24">
        <f>IF($A61="","",N(J61)-N(K61))</f>
        <v/>
      </c>
      <c r="M61" s="22" t="n"/>
      <c r="N61" s="23">
        <f>IF($A61="","",IFERROR(SUMPRODUCT(('[1]عهد ومصروفات بدر'!$H$8:$H$5007=$A61)*('[1]عهد ومصروفات بدر'!$S$8:$S$5007=4)*'[1]عهد ومصروفات بدر'!$T$8:$T$5007),0))</f>
        <v/>
      </c>
      <c r="O61" s="24">
        <f>IF($A61="","",N(M61)-N(N61))</f>
        <v/>
      </c>
      <c r="P61" s="22" t="n"/>
      <c r="Q61" s="23">
        <f>IF($A61="","",IFERROR(SUMPRODUCT(('[1]عهد ومصروفات بدر'!$H$8:$H$5007=$A61)*('[1]عهد ومصروفات بدر'!$S$8:$S$5007=5)*'[1]عهد ومصروفات بدر'!$T$8:$T$5007),0))</f>
        <v/>
      </c>
      <c r="R61" s="24">
        <f>IF($A61="","",N(P61)-N(Q61))</f>
        <v/>
      </c>
      <c r="S61" s="22" t="n"/>
      <c r="T61" s="23">
        <f>IF($A61="","",IFERROR(SUMPRODUCT(('[1]عهد ومصروفات بدر'!$H$8:$H$5007=$A61)*('[1]عهد ومصروفات بدر'!$S$8:$S$5007=6)*'[1]عهد ومصروفات بدر'!$T$8:$T$5007),0))</f>
        <v/>
      </c>
      <c r="U61" s="24">
        <f>IF($A61="","",N(S61)-N(T61))</f>
        <v/>
      </c>
      <c r="V61" s="22" t="n"/>
      <c r="W61" s="23">
        <f>IF($A61="","",IFERROR(SUMPRODUCT(('[1]عهد ومصروفات بدر'!$H$8:$H$5007=$A61)*('[1]عهد ومصروفات بدر'!$S$8:$S$5007=7)*'[1]عهد ومصروفات بدر'!$T$8:$T$5007),0))</f>
        <v/>
      </c>
      <c r="X61" s="24">
        <f>IF($A61="","",N(V61)-N(W61))</f>
        <v/>
      </c>
      <c r="Y61" s="22" t="n"/>
      <c r="Z61" s="23">
        <f>IF($A61="","",IFERROR(SUMPRODUCT(('[1]عهد ومصروفات بدر'!$H$8:$H$5007=$A61)*('[1]عهد ومصروفات بدر'!$S$8:$S$5007=8)*'[1]عهد ومصروفات بدر'!$T$8:$T$5007),0))</f>
        <v/>
      </c>
      <c r="AA61" s="24">
        <f>IF($A61="","",N(Y61)-N(Z61))</f>
        <v/>
      </c>
      <c r="AB61" s="22" t="n"/>
      <c r="AC61" s="23">
        <f>IF($A61="","",IFERROR(SUMPRODUCT(('[1]عهد ومصروفات بدر'!$H$8:$H$5007=$A61)*('[1]عهد ومصروفات بدر'!$S$8:$S$5007=9)*'[1]عهد ومصروفات بدر'!$T$8:$T$5007),0))</f>
        <v/>
      </c>
      <c r="AD61" s="24">
        <f>IF($A61="","",N(AB61)-N(AC61))</f>
        <v/>
      </c>
      <c r="AE61" s="22" t="n"/>
      <c r="AF61" s="23">
        <f>IF($A61="","",IFERROR(SUMPRODUCT(('[1]عهد ومصروفات بدر'!$H$8:$H$5007=$A61)*('[1]عهد ومصروفات بدر'!$S$8:$S$5007=10)*'[1]عهد ومصروفات بدر'!$T$8:$T$5007),0))</f>
        <v/>
      </c>
      <c r="AG61" s="24">
        <f>IF($A61="","",N(AE61)-N(AF61))</f>
        <v/>
      </c>
      <c r="AH61" s="22" t="n"/>
      <c r="AI61" s="23">
        <f>IF($A61="","",IFERROR(SUMPRODUCT(('[1]عهد ومصروفات بدر'!$H$8:$H$5007=$A61)*('[1]عهد ومصروفات بدر'!$S$8:$S$5007=11)*'[1]عهد ومصروفات بدر'!$T$8:$T$5007),0))</f>
        <v/>
      </c>
      <c r="AJ61" s="24">
        <f>IF($A61="","",N(AH61)-N(AI61))</f>
        <v/>
      </c>
      <c r="AK61" s="22" t="n"/>
      <c r="AL61" s="23">
        <f>IF($A61="","",IFERROR(SUMPRODUCT(('[1]عهد ومصروفات بدر'!$H$8:$H$5007=$A61)*('[1]عهد ومصروفات بدر'!$S$8:$S$5007=12)*'[1]عهد ومصروفات بدر'!$T$8:$T$5007),0))</f>
        <v/>
      </c>
      <c r="AM61" s="24">
        <f>IF($A61="","",N(AK61)-N(AL61))</f>
        <v/>
      </c>
      <c r="AN61" s="25">
        <f>IF(A61="","",N(D61)+N(G61)+N(J61)+N(M61)+N(P61)+N(S61)+N(V61)+N(Y61)+N(AB61)+N(AE61)+N(AH61)+N(AK61))</f>
        <v/>
      </c>
      <c r="AO61" s="25">
        <f>IF(A61="","",N(E61)+N(H61)+N(K61)+N(N61)+N(Q61)+N(T61)+N(W61)+N(Z61)+N(AC61)+N(AF61)+N(AI61)+N(AL61))</f>
        <v/>
      </c>
      <c r="AP61" s="26">
        <f>IF(A61="","",N(B61)-AO61)</f>
        <v/>
      </c>
      <c r="AQ61">
        <f>IF(A61="",0,(N(F61)&lt;0)+(N(I61)&lt;0)+(N(L61)&lt;0)+(N(O61)&lt;0)+(N(R61)&lt;0)+(N(U61)&lt;0)+(N(X61)&lt;0)+(N(AA61)&lt;0)+(N(AD61)&lt;0)+(N(AG61)&lt;0)+(N(AJ61)&lt;0)+(N(AM61)&lt;0))</f>
        <v/>
      </c>
      <c r="AR61">
        <f>IF(A61="",0,MAX(0,-N(F61))+MAX(0,-N(I61))+MAX(0,-N(L61))+MAX(0,-N(O61))+MAX(0,-N(R61))+MAX(0,-N(U61))+MAX(0,-N(X61))+MAX(0,-N(AA61))+MAX(0,-N(AD61))+MAX(0,-N(AG61))+MAX(0,-N(AJ61))+MAX(0,-N(AM61)))</f>
        <v/>
      </c>
      <c r="AS61">
        <f>IF(A61="",0,IF(OR(N(AP61)&lt;0,AQ61&gt;0),1,0))</f>
        <v/>
      </c>
      <c r="AT61">
        <f>AT60+AS61</f>
        <v/>
      </c>
      <c r="AU61">
        <f>IF(A61="",-1,N(AO61)+ROW()/10000000)</f>
        <v/>
      </c>
    </row>
    <row r="62">
      <c r="A62" s="19" t="n"/>
      <c r="B62" s="20" t="n"/>
      <c r="C62" s="21">
        <f>IF(A62="","",N(B62)/12)</f>
        <v/>
      </c>
      <c r="D62" s="22" t="n"/>
      <c r="E62" s="23">
        <f>IF($A62="","",IFERROR(SUMPRODUCT(('[1]عهد ومصروفات بدر'!$H$8:$H$5007=$A62)*('[1]عهد ومصروفات بدر'!$S$8:$S$5007=1)*'[1]عهد ومصروفات بدر'!$T$8:$T$5007),0))</f>
        <v/>
      </c>
      <c r="F62" s="24">
        <f>IF($A62="","",N(D62)-N(E62))</f>
        <v/>
      </c>
      <c r="G62" s="22" t="n"/>
      <c r="H62" s="23">
        <f>IF($A62="","",IFERROR(SUMPRODUCT(('[1]عهد ومصروفات بدر'!$H$8:$H$5007=$A62)*('[1]عهد ومصروفات بدر'!$S$8:$S$5007=2)*'[1]عهد ومصروفات بدر'!$T$8:$T$5007),0))</f>
        <v/>
      </c>
      <c r="I62" s="24">
        <f>IF($A62="","",N(G62)-N(H62))</f>
        <v/>
      </c>
      <c r="J62" s="22" t="n"/>
      <c r="K62" s="23">
        <f>IF($A62="","",IFERROR(SUMPRODUCT(('[1]عهد ومصروفات بدر'!$H$8:$H$5007=$A62)*('[1]عهد ومصروفات بدر'!$S$8:$S$5007=3)*'[1]عهد ومصروفات بدر'!$T$8:$T$5007),0))</f>
        <v/>
      </c>
      <c r="L62" s="24">
        <f>IF($A62="","",N(J62)-N(K62))</f>
        <v/>
      </c>
      <c r="M62" s="22" t="n"/>
      <c r="N62" s="23">
        <f>IF($A62="","",IFERROR(SUMPRODUCT(('[1]عهد ومصروفات بدر'!$H$8:$H$5007=$A62)*('[1]عهد ومصروفات بدر'!$S$8:$S$5007=4)*'[1]عهد ومصروفات بدر'!$T$8:$T$5007),0))</f>
        <v/>
      </c>
      <c r="O62" s="24">
        <f>IF($A62="","",N(M62)-N(N62))</f>
        <v/>
      </c>
      <c r="P62" s="22" t="n"/>
      <c r="Q62" s="23">
        <f>IF($A62="","",IFERROR(SUMPRODUCT(('[1]عهد ومصروفات بدر'!$H$8:$H$5007=$A62)*('[1]عهد ومصروفات بدر'!$S$8:$S$5007=5)*'[1]عهد ومصروفات بدر'!$T$8:$T$5007),0))</f>
        <v/>
      </c>
      <c r="R62" s="24">
        <f>IF($A62="","",N(P62)-N(Q62))</f>
        <v/>
      </c>
      <c r="S62" s="22" t="n"/>
      <c r="T62" s="23">
        <f>IF($A62="","",IFERROR(SUMPRODUCT(('[1]عهد ومصروفات بدر'!$H$8:$H$5007=$A62)*('[1]عهد ومصروفات بدر'!$S$8:$S$5007=6)*'[1]عهد ومصروفات بدر'!$T$8:$T$5007),0))</f>
        <v/>
      </c>
      <c r="U62" s="24">
        <f>IF($A62="","",N(S62)-N(T62))</f>
        <v/>
      </c>
      <c r="V62" s="22" t="n"/>
      <c r="W62" s="23">
        <f>IF($A62="","",IFERROR(SUMPRODUCT(('[1]عهد ومصروفات بدر'!$H$8:$H$5007=$A62)*('[1]عهد ومصروفات بدر'!$S$8:$S$5007=7)*'[1]عهد ومصروفات بدر'!$T$8:$T$5007),0))</f>
        <v/>
      </c>
      <c r="X62" s="24">
        <f>IF($A62="","",N(V62)-N(W62))</f>
        <v/>
      </c>
      <c r="Y62" s="22" t="n"/>
      <c r="Z62" s="23">
        <f>IF($A62="","",IFERROR(SUMPRODUCT(('[1]عهد ومصروفات بدر'!$H$8:$H$5007=$A62)*('[1]عهد ومصروفات بدر'!$S$8:$S$5007=8)*'[1]عهد ومصروفات بدر'!$T$8:$T$5007),0))</f>
        <v/>
      </c>
      <c r="AA62" s="24">
        <f>IF($A62="","",N(Y62)-N(Z62))</f>
        <v/>
      </c>
      <c r="AB62" s="22" t="n"/>
      <c r="AC62" s="23">
        <f>IF($A62="","",IFERROR(SUMPRODUCT(('[1]عهد ومصروفات بدر'!$H$8:$H$5007=$A62)*('[1]عهد ومصروفات بدر'!$S$8:$S$5007=9)*'[1]عهد ومصروفات بدر'!$T$8:$T$5007),0))</f>
        <v/>
      </c>
      <c r="AD62" s="24">
        <f>IF($A62="","",N(AB62)-N(AC62))</f>
        <v/>
      </c>
      <c r="AE62" s="22" t="n"/>
      <c r="AF62" s="23">
        <f>IF($A62="","",IFERROR(SUMPRODUCT(('[1]عهد ومصروفات بدر'!$H$8:$H$5007=$A62)*('[1]عهد ومصروفات بدر'!$S$8:$S$5007=10)*'[1]عهد ومصروفات بدر'!$T$8:$T$5007),0))</f>
        <v/>
      </c>
      <c r="AG62" s="24">
        <f>IF($A62="","",N(AE62)-N(AF62))</f>
        <v/>
      </c>
      <c r="AH62" s="22" t="n"/>
      <c r="AI62" s="23">
        <f>IF($A62="","",IFERROR(SUMPRODUCT(('[1]عهد ومصروفات بدر'!$H$8:$H$5007=$A62)*('[1]عهد ومصروفات بدر'!$S$8:$S$5007=11)*'[1]عهد ومصروفات بدر'!$T$8:$T$5007),0))</f>
        <v/>
      </c>
      <c r="AJ62" s="24">
        <f>IF($A62="","",N(AH62)-N(AI62))</f>
        <v/>
      </c>
      <c r="AK62" s="22" t="n"/>
      <c r="AL62" s="23">
        <f>IF($A62="","",IFERROR(SUMPRODUCT(('[1]عهد ومصروفات بدر'!$H$8:$H$5007=$A62)*('[1]عهد ومصروفات بدر'!$S$8:$S$5007=12)*'[1]عهد ومصروفات بدر'!$T$8:$T$5007),0))</f>
        <v/>
      </c>
      <c r="AM62" s="24">
        <f>IF($A62="","",N(AK62)-N(AL62))</f>
        <v/>
      </c>
      <c r="AN62" s="25">
        <f>IF(A62="","",N(D62)+N(G62)+N(J62)+N(M62)+N(P62)+N(S62)+N(V62)+N(Y62)+N(AB62)+N(AE62)+N(AH62)+N(AK62))</f>
        <v/>
      </c>
      <c r="AO62" s="25">
        <f>IF(A62="","",N(E62)+N(H62)+N(K62)+N(N62)+N(Q62)+N(T62)+N(W62)+N(Z62)+N(AC62)+N(AF62)+N(AI62)+N(AL62))</f>
        <v/>
      </c>
      <c r="AP62" s="26">
        <f>IF(A62="","",N(B62)-AO62)</f>
        <v/>
      </c>
      <c r="AQ62">
        <f>IF(A62="",0,(N(F62)&lt;0)+(N(I62)&lt;0)+(N(L62)&lt;0)+(N(O62)&lt;0)+(N(R62)&lt;0)+(N(U62)&lt;0)+(N(X62)&lt;0)+(N(AA62)&lt;0)+(N(AD62)&lt;0)+(N(AG62)&lt;0)+(N(AJ62)&lt;0)+(N(AM62)&lt;0))</f>
        <v/>
      </c>
      <c r="AR62">
        <f>IF(A62="",0,MAX(0,-N(F62))+MAX(0,-N(I62))+MAX(0,-N(L62))+MAX(0,-N(O62))+MAX(0,-N(R62))+MAX(0,-N(U62))+MAX(0,-N(X62))+MAX(0,-N(AA62))+MAX(0,-N(AD62))+MAX(0,-N(AG62))+MAX(0,-N(AJ62))+MAX(0,-N(AM62)))</f>
        <v/>
      </c>
      <c r="AS62">
        <f>IF(A62="",0,IF(OR(N(AP62)&lt;0,AQ62&gt;0),1,0))</f>
        <v/>
      </c>
      <c r="AT62">
        <f>AT61+AS62</f>
        <v/>
      </c>
      <c r="AU62">
        <f>IF(A62="",-1,N(AO62)+ROW()/10000000)</f>
        <v/>
      </c>
    </row>
    <row r="63">
      <c r="A63" s="19" t="n"/>
      <c r="B63" s="20" t="n"/>
      <c r="C63" s="21">
        <f>IF(A63="","",N(B63)/12)</f>
        <v/>
      </c>
      <c r="D63" s="22" t="n"/>
      <c r="E63" s="23">
        <f>IF($A63="","",IFERROR(SUMPRODUCT(('[1]عهد ومصروفات بدر'!$H$8:$H$5007=$A63)*('[1]عهد ومصروفات بدر'!$S$8:$S$5007=1)*'[1]عهد ومصروفات بدر'!$T$8:$T$5007),0))</f>
        <v/>
      </c>
      <c r="F63" s="24">
        <f>IF($A63="","",N(D63)-N(E63))</f>
        <v/>
      </c>
      <c r="G63" s="22" t="n"/>
      <c r="H63" s="23">
        <f>IF($A63="","",IFERROR(SUMPRODUCT(('[1]عهد ومصروفات بدر'!$H$8:$H$5007=$A63)*('[1]عهد ومصروفات بدر'!$S$8:$S$5007=2)*'[1]عهد ومصروفات بدر'!$T$8:$T$5007),0))</f>
        <v/>
      </c>
      <c r="I63" s="24">
        <f>IF($A63="","",N(G63)-N(H63))</f>
        <v/>
      </c>
      <c r="J63" s="22" t="n"/>
      <c r="K63" s="23">
        <f>IF($A63="","",IFERROR(SUMPRODUCT(('[1]عهد ومصروفات بدر'!$H$8:$H$5007=$A63)*('[1]عهد ومصروفات بدر'!$S$8:$S$5007=3)*'[1]عهد ومصروفات بدر'!$T$8:$T$5007),0))</f>
        <v/>
      </c>
      <c r="L63" s="24">
        <f>IF($A63="","",N(J63)-N(K63))</f>
        <v/>
      </c>
      <c r="M63" s="22" t="n"/>
      <c r="N63" s="23">
        <f>IF($A63="","",IFERROR(SUMPRODUCT(('[1]عهد ومصروفات بدر'!$H$8:$H$5007=$A63)*('[1]عهد ومصروفات بدر'!$S$8:$S$5007=4)*'[1]عهد ومصروفات بدر'!$T$8:$T$5007),0))</f>
        <v/>
      </c>
      <c r="O63" s="24">
        <f>IF($A63="","",N(M63)-N(N63))</f>
        <v/>
      </c>
      <c r="P63" s="22" t="n"/>
      <c r="Q63" s="23">
        <f>IF($A63="","",IFERROR(SUMPRODUCT(('[1]عهد ومصروفات بدر'!$H$8:$H$5007=$A63)*('[1]عهد ومصروفات بدر'!$S$8:$S$5007=5)*'[1]عهد ومصروفات بدر'!$T$8:$T$5007),0))</f>
        <v/>
      </c>
      <c r="R63" s="24">
        <f>IF($A63="","",N(P63)-N(Q63))</f>
        <v/>
      </c>
      <c r="S63" s="22" t="n"/>
      <c r="T63" s="23">
        <f>IF($A63="","",IFERROR(SUMPRODUCT(('[1]عهد ومصروفات بدر'!$H$8:$H$5007=$A63)*('[1]عهد ومصروفات بدر'!$S$8:$S$5007=6)*'[1]عهد ومصروفات بدر'!$T$8:$T$5007),0))</f>
        <v/>
      </c>
      <c r="U63" s="24">
        <f>IF($A63="","",N(S63)-N(T63))</f>
        <v/>
      </c>
      <c r="V63" s="22" t="n"/>
      <c r="W63" s="23">
        <f>IF($A63="","",IFERROR(SUMPRODUCT(('[1]عهد ومصروفات بدر'!$H$8:$H$5007=$A63)*('[1]عهد ومصروفات بدر'!$S$8:$S$5007=7)*'[1]عهد ومصروفات بدر'!$T$8:$T$5007),0))</f>
        <v/>
      </c>
      <c r="X63" s="24">
        <f>IF($A63="","",N(V63)-N(W63))</f>
        <v/>
      </c>
      <c r="Y63" s="22" t="n"/>
      <c r="Z63" s="23">
        <f>IF($A63="","",IFERROR(SUMPRODUCT(('[1]عهد ومصروفات بدر'!$H$8:$H$5007=$A63)*('[1]عهد ومصروفات بدر'!$S$8:$S$5007=8)*'[1]عهد ومصروفات بدر'!$T$8:$T$5007),0))</f>
        <v/>
      </c>
      <c r="AA63" s="24">
        <f>IF($A63="","",N(Y63)-N(Z63))</f>
        <v/>
      </c>
      <c r="AB63" s="22" t="n"/>
      <c r="AC63" s="23">
        <f>IF($A63="","",IFERROR(SUMPRODUCT(('[1]عهد ومصروفات بدر'!$H$8:$H$5007=$A63)*('[1]عهد ومصروفات بدر'!$S$8:$S$5007=9)*'[1]عهد ومصروفات بدر'!$T$8:$T$5007),0))</f>
        <v/>
      </c>
      <c r="AD63" s="24">
        <f>IF($A63="","",N(AB63)-N(AC63))</f>
        <v/>
      </c>
      <c r="AE63" s="22" t="n"/>
      <c r="AF63" s="23">
        <f>IF($A63="","",IFERROR(SUMPRODUCT(('[1]عهد ومصروفات بدر'!$H$8:$H$5007=$A63)*('[1]عهد ومصروفات بدر'!$S$8:$S$5007=10)*'[1]عهد ومصروفات بدر'!$T$8:$T$5007),0))</f>
        <v/>
      </c>
      <c r="AG63" s="24">
        <f>IF($A63="","",N(AE63)-N(AF63))</f>
        <v/>
      </c>
      <c r="AH63" s="22" t="n"/>
      <c r="AI63" s="23">
        <f>IF($A63="","",IFERROR(SUMPRODUCT(('[1]عهد ومصروفات بدر'!$H$8:$H$5007=$A63)*('[1]عهد ومصروفات بدر'!$S$8:$S$5007=11)*'[1]عهد ومصروفات بدر'!$T$8:$T$5007),0))</f>
        <v/>
      </c>
      <c r="AJ63" s="24">
        <f>IF($A63="","",N(AH63)-N(AI63))</f>
        <v/>
      </c>
      <c r="AK63" s="22" t="n"/>
      <c r="AL63" s="23">
        <f>IF($A63="","",IFERROR(SUMPRODUCT(('[1]عهد ومصروفات بدر'!$H$8:$H$5007=$A63)*('[1]عهد ومصروفات بدر'!$S$8:$S$5007=12)*'[1]عهد ومصروفات بدر'!$T$8:$T$5007),0))</f>
        <v/>
      </c>
      <c r="AM63" s="24">
        <f>IF($A63="","",N(AK63)-N(AL63))</f>
        <v/>
      </c>
      <c r="AN63" s="25">
        <f>IF(A63="","",N(D63)+N(G63)+N(J63)+N(M63)+N(P63)+N(S63)+N(V63)+N(Y63)+N(AB63)+N(AE63)+N(AH63)+N(AK63))</f>
        <v/>
      </c>
      <c r="AO63" s="25">
        <f>IF(A63="","",N(E63)+N(H63)+N(K63)+N(N63)+N(Q63)+N(T63)+N(W63)+N(Z63)+N(AC63)+N(AF63)+N(AI63)+N(AL63))</f>
        <v/>
      </c>
      <c r="AP63" s="26">
        <f>IF(A63="","",N(B63)-AO63)</f>
        <v/>
      </c>
      <c r="AQ63">
        <f>IF(A63="",0,(N(F63)&lt;0)+(N(I63)&lt;0)+(N(L63)&lt;0)+(N(O63)&lt;0)+(N(R63)&lt;0)+(N(U63)&lt;0)+(N(X63)&lt;0)+(N(AA63)&lt;0)+(N(AD63)&lt;0)+(N(AG63)&lt;0)+(N(AJ63)&lt;0)+(N(AM63)&lt;0))</f>
        <v/>
      </c>
      <c r="AR63">
        <f>IF(A63="",0,MAX(0,-N(F63))+MAX(0,-N(I63))+MAX(0,-N(L63))+MAX(0,-N(O63))+MAX(0,-N(R63))+MAX(0,-N(U63))+MAX(0,-N(X63))+MAX(0,-N(AA63))+MAX(0,-N(AD63))+MAX(0,-N(AG63))+MAX(0,-N(AJ63))+MAX(0,-N(AM63)))</f>
        <v/>
      </c>
      <c r="AS63">
        <f>IF(A63="",0,IF(OR(N(AP63)&lt;0,AQ63&gt;0),1,0))</f>
        <v/>
      </c>
      <c r="AT63">
        <f>AT62+AS63</f>
        <v/>
      </c>
      <c r="AU63">
        <f>IF(A63="",-1,N(AO63)+ROW()/10000000)</f>
        <v/>
      </c>
    </row>
    <row r="64">
      <c r="A64" s="19" t="n"/>
      <c r="B64" s="20" t="n"/>
      <c r="C64" s="21">
        <f>IF(A64="","",N(B64)/12)</f>
        <v/>
      </c>
      <c r="D64" s="22" t="n"/>
      <c r="E64" s="23">
        <f>IF($A64="","",IFERROR(SUMPRODUCT(('[1]عهد ومصروفات بدر'!$H$8:$H$5007=$A64)*('[1]عهد ومصروفات بدر'!$S$8:$S$5007=1)*'[1]عهد ومصروفات بدر'!$T$8:$T$5007),0))</f>
        <v/>
      </c>
      <c r="F64" s="24">
        <f>IF($A64="","",N(D64)-N(E64))</f>
        <v/>
      </c>
      <c r="G64" s="22" t="n"/>
      <c r="H64" s="23">
        <f>IF($A64="","",IFERROR(SUMPRODUCT(('[1]عهد ومصروفات بدر'!$H$8:$H$5007=$A64)*('[1]عهد ومصروفات بدر'!$S$8:$S$5007=2)*'[1]عهد ومصروفات بدر'!$T$8:$T$5007),0))</f>
        <v/>
      </c>
      <c r="I64" s="24">
        <f>IF($A64="","",N(G64)-N(H64))</f>
        <v/>
      </c>
      <c r="J64" s="22" t="n"/>
      <c r="K64" s="23">
        <f>IF($A64="","",IFERROR(SUMPRODUCT(('[1]عهد ومصروفات بدر'!$H$8:$H$5007=$A64)*('[1]عهد ومصروفات بدر'!$S$8:$S$5007=3)*'[1]عهد ومصروفات بدر'!$T$8:$T$5007),0))</f>
        <v/>
      </c>
      <c r="L64" s="24">
        <f>IF($A64="","",N(J64)-N(K64))</f>
        <v/>
      </c>
      <c r="M64" s="22" t="n"/>
      <c r="N64" s="23">
        <f>IF($A64="","",IFERROR(SUMPRODUCT(('[1]عهد ومصروفات بدر'!$H$8:$H$5007=$A64)*('[1]عهد ومصروفات بدر'!$S$8:$S$5007=4)*'[1]عهد ومصروفات بدر'!$T$8:$T$5007),0))</f>
        <v/>
      </c>
      <c r="O64" s="24">
        <f>IF($A64="","",N(M64)-N(N64))</f>
        <v/>
      </c>
      <c r="P64" s="22" t="n"/>
      <c r="Q64" s="23">
        <f>IF($A64="","",IFERROR(SUMPRODUCT(('[1]عهد ومصروفات بدر'!$H$8:$H$5007=$A64)*('[1]عهد ومصروفات بدر'!$S$8:$S$5007=5)*'[1]عهد ومصروفات بدر'!$T$8:$T$5007),0))</f>
        <v/>
      </c>
      <c r="R64" s="24">
        <f>IF($A64="","",N(P64)-N(Q64))</f>
        <v/>
      </c>
      <c r="S64" s="22" t="n"/>
      <c r="T64" s="23">
        <f>IF($A64="","",IFERROR(SUMPRODUCT(('[1]عهد ومصروفات بدر'!$H$8:$H$5007=$A64)*('[1]عهد ومصروفات بدر'!$S$8:$S$5007=6)*'[1]عهد ومصروفات بدر'!$T$8:$T$5007),0))</f>
        <v/>
      </c>
      <c r="U64" s="24">
        <f>IF($A64="","",N(S64)-N(T64))</f>
        <v/>
      </c>
      <c r="V64" s="22" t="n"/>
      <c r="W64" s="23">
        <f>IF($A64="","",IFERROR(SUMPRODUCT(('[1]عهد ومصروفات بدر'!$H$8:$H$5007=$A64)*('[1]عهد ومصروفات بدر'!$S$8:$S$5007=7)*'[1]عهد ومصروفات بدر'!$T$8:$T$5007),0))</f>
        <v/>
      </c>
      <c r="X64" s="24">
        <f>IF($A64="","",N(V64)-N(W64))</f>
        <v/>
      </c>
      <c r="Y64" s="22" t="n"/>
      <c r="Z64" s="23">
        <f>IF($A64="","",IFERROR(SUMPRODUCT(('[1]عهد ومصروفات بدر'!$H$8:$H$5007=$A64)*('[1]عهد ومصروفات بدر'!$S$8:$S$5007=8)*'[1]عهد ومصروفات بدر'!$T$8:$T$5007),0))</f>
        <v/>
      </c>
      <c r="AA64" s="24">
        <f>IF($A64="","",N(Y64)-N(Z64))</f>
        <v/>
      </c>
      <c r="AB64" s="22" t="n"/>
      <c r="AC64" s="23">
        <f>IF($A64="","",IFERROR(SUMPRODUCT(('[1]عهد ومصروفات بدر'!$H$8:$H$5007=$A64)*('[1]عهد ومصروفات بدر'!$S$8:$S$5007=9)*'[1]عهد ومصروفات بدر'!$T$8:$T$5007),0))</f>
        <v/>
      </c>
      <c r="AD64" s="24">
        <f>IF($A64="","",N(AB64)-N(AC64))</f>
        <v/>
      </c>
      <c r="AE64" s="22" t="n"/>
      <c r="AF64" s="23">
        <f>IF($A64="","",IFERROR(SUMPRODUCT(('[1]عهد ومصروفات بدر'!$H$8:$H$5007=$A64)*('[1]عهد ومصروفات بدر'!$S$8:$S$5007=10)*'[1]عهد ومصروفات بدر'!$T$8:$T$5007),0))</f>
        <v/>
      </c>
      <c r="AG64" s="24">
        <f>IF($A64="","",N(AE64)-N(AF64))</f>
        <v/>
      </c>
      <c r="AH64" s="22" t="n"/>
      <c r="AI64" s="23">
        <f>IF($A64="","",IFERROR(SUMPRODUCT(('[1]عهد ومصروفات بدر'!$H$8:$H$5007=$A64)*('[1]عهد ومصروفات بدر'!$S$8:$S$5007=11)*'[1]عهد ومصروفات بدر'!$T$8:$T$5007),0))</f>
        <v/>
      </c>
      <c r="AJ64" s="24">
        <f>IF($A64="","",N(AH64)-N(AI64))</f>
        <v/>
      </c>
      <c r="AK64" s="22" t="n"/>
      <c r="AL64" s="23">
        <f>IF($A64="","",IFERROR(SUMPRODUCT(('[1]عهد ومصروفات بدر'!$H$8:$H$5007=$A64)*('[1]عهد ومصروفات بدر'!$S$8:$S$5007=12)*'[1]عهد ومصروفات بدر'!$T$8:$T$5007),0))</f>
        <v/>
      </c>
      <c r="AM64" s="24">
        <f>IF($A64="","",N(AK64)-N(AL64))</f>
        <v/>
      </c>
      <c r="AN64" s="25">
        <f>IF(A64="","",N(D64)+N(G64)+N(J64)+N(M64)+N(P64)+N(S64)+N(V64)+N(Y64)+N(AB64)+N(AE64)+N(AH64)+N(AK64))</f>
        <v/>
      </c>
      <c r="AO64" s="25">
        <f>IF(A64="","",N(E64)+N(H64)+N(K64)+N(N64)+N(Q64)+N(T64)+N(W64)+N(Z64)+N(AC64)+N(AF64)+N(AI64)+N(AL64))</f>
        <v/>
      </c>
      <c r="AP64" s="26">
        <f>IF(A64="","",N(B64)-AO64)</f>
        <v/>
      </c>
      <c r="AQ64">
        <f>IF(A64="",0,(N(F64)&lt;0)+(N(I64)&lt;0)+(N(L64)&lt;0)+(N(O64)&lt;0)+(N(R64)&lt;0)+(N(U64)&lt;0)+(N(X64)&lt;0)+(N(AA64)&lt;0)+(N(AD64)&lt;0)+(N(AG64)&lt;0)+(N(AJ64)&lt;0)+(N(AM64)&lt;0))</f>
        <v/>
      </c>
      <c r="AR64">
        <f>IF(A64="",0,MAX(0,-N(F64))+MAX(0,-N(I64))+MAX(0,-N(L64))+MAX(0,-N(O64))+MAX(0,-N(R64))+MAX(0,-N(U64))+MAX(0,-N(X64))+MAX(0,-N(AA64))+MAX(0,-N(AD64))+MAX(0,-N(AG64))+MAX(0,-N(AJ64))+MAX(0,-N(AM64)))</f>
        <v/>
      </c>
      <c r="AS64">
        <f>IF(A64="",0,IF(OR(N(AP64)&lt;0,AQ64&gt;0),1,0))</f>
        <v/>
      </c>
      <c r="AT64">
        <f>AT63+AS64</f>
        <v/>
      </c>
      <c r="AU64">
        <f>IF(A64="",-1,N(AO64)+ROW()/10000000)</f>
        <v/>
      </c>
    </row>
    <row r="65">
      <c r="A65" s="19" t="n"/>
      <c r="B65" s="20" t="n"/>
      <c r="C65" s="21">
        <f>IF(A65="","",N(B65)/12)</f>
        <v/>
      </c>
      <c r="D65" s="22" t="n"/>
      <c r="E65" s="23">
        <f>IF($A65="","",IFERROR(SUMPRODUCT(('[1]عهد ومصروفات بدر'!$H$8:$H$5007=$A65)*('[1]عهد ومصروفات بدر'!$S$8:$S$5007=1)*'[1]عهد ومصروفات بدر'!$T$8:$T$5007),0))</f>
        <v/>
      </c>
      <c r="F65" s="24">
        <f>IF($A65="","",N(D65)-N(E65))</f>
        <v/>
      </c>
      <c r="G65" s="22" t="n"/>
      <c r="H65" s="23">
        <f>IF($A65="","",IFERROR(SUMPRODUCT(('[1]عهد ومصروفات بدر'!$H$8:$H$5007=$A65)*('[1]عهد ومصروفات بدر'!$S$8:$S$5007=2)*'[1]عهد ومصروفات بدر'!$T$8:$T$5007),0))</f>
        <v/>
      </c>
      <c r="I65" s="24">
        <f>IF($A65="","",N(G65)-N(H65))</f>
        <v/>
      </c>
      <c r="J65" s="22" t="n"/>
      <c r="K65" s="23">
        <f>IF($A65="","",IFERROR(SUMPRODUCT(('[1]عهد ومصروفات بدر'!$H$8:$H$5007=$A65)*('[1]عهد ومصروفات بدر'!$S$8:$S$5007=3)*'[1]عهد ومصروفات بدر'!$T$8:$T$5007),0))</f>
        <v/>
      </c>
      <c r="L65" s="24">
        <f>IF($A65="","",N(J65)-N(K65))</f>
        <v/>
      </c>
      <c r="M65" s="22" t="n"/>
      <c r="N65" s="23">
        <f>IF($A65="","",IFERROR(SUMPRODUCT(('[1]عهد ومصروفات بدر'!$H$8:$H$5007=$A65)*('[1]عهد ومصروفات بدر'!$S$8:$S$5007=4)*'[1]عهد ومصروفات بدر'!$T$8:$T$5007),0))</f>
        <v/>
      </c>
      <c r="O65" s="24">
        <f>IF($A65="","",N(M65)-N(N65))</f>
        <v/>
      </c>
      <c r="P65" s="22" t="n"/>
      <c r="Q65" s="23">
        <f>IF($A65="","",IFERROR(SUMPRODUCT(('[1]عهد ومصروفات بدر'!$H$8:$H$5007=$A65)*('[1]عهد ومصروفات بدر'!$S$8:$S$5007=5)*'[1]عهد ومصروفات بدر'!$T$8:$T$5007),0))</f>
        <v/>
      </c>
      <c r="R65" s="24">
        <f>IF($A65="","",N(P65)-N(Q65))</f>
        <v/>
      </c>
      <c r="S65" s="22" t="n"/>
      <c r="T65" s="23">
        <f>IF($A65="","",IFERROR(SUMPRODUCT(('[1]عهد ومصروفات بدر'!$H$8:$H$5007=$A65)*('[1]عهد ومصروفات بدر'!$S$8:$S$5007=6)*'[1]عهد ومصروفات بدر'!$T$8:$T$5007),0))</f>
        <v/>
      </c>
      <c r="U65" s="24">
        <f>IF($A65="","",N(S65)-N(T65))</f>
        <v/>
      </c>
      <c r="V65" s="22" t="n"/>
      <c r="W65" s="23">
        <f>IF($A65="","",IFERROR(SUMPRODUCT(('[1]عهد ومصروفات بدر'!$H$8:$H$5007=$A65)*('[1]عهد ومصروفات بدر'!$S$8:$S$5007=7)*'[1]عهد ومصروفات بدر'!$T$8:$T$5007),0))</f>
        <v/>
      </c>
      <c r="X65" s="24">
        <f>IF($A65="","",N(V65)-N(W65))</f>
        <v/>
      </c>
      <c r="Y65" s="22" t="n"/>
      <c r="Z65" s="23">
        <f>IF($A65="","",IFERROR(SUMPRODUCT(('[1]عهد ومصروفات بدر'!$H$8:$H$5007=$A65)*('[1]عهد ومصروفات بدر'!$S$8:$S$5007=8)*'[1]عهد ومصروفات بدر'!$T$8:$T$5007),0))</f>
        <v/>
      </c>
      <c r="AA65" s="24">
        <f>IF($A65="","",N(Y65)-N(Z65))</f>
        <v/>
      </c>
      <c r="AB65" s="22" t="n"/>
      <c r="AC65" s="23">
        <f>IF($A65="","",IFERROR(SUMPRODUCT(('[1]عهد ومصروفات بدر'!$H$8:$H$5007=$A65)*('[1]عهد ومصروفات بدر'!$S$8:$S$5007=9)*'[1]عهد ومصروفات بدر'!$T$8:$T$5007),0))</f>
        <v/>
      </c>
      <c r="AD65" s="24">
        <f>IF($A65="","",N(AB65)-N(AC65))</f>
        <v/>
      </c>
      <c r="AE65" s="22" t="n"/>
      <c r="AF65" s="23">
        <f>IF($A65="","",IFERROR(SUMPRODUCT(('[1]عهد ومصروفات بدر'!$H$8:$H$5007=$A65)*('[1]عهد ومصروفات بدر'!$S$8:$S$5007=10)*'[1]عهد ومصروفات بدر'!$T$8:$T$5007),0))</f>
        <v/>
      </c>
      <c r="AG65" s="24">
        <f>IF($A65="","",N(AE65)-N(AF65))</f>
        <v/>
      </c>
      <c r="AH65" s="22" t="n"/>
      <c r="AI65" s="23">
        <f>IF($A65="","",IFERROR(SUMPRODUCT(('[1]عهد ومصروفات بدر'!$H$8:$H$5007=$A65)*('[1]عهد ومصروفات بدر'!$S$8:$S$5007=11)*'[1]عهد ومصروفات بدر'!$T$8:$T$5007),0))</f>
        <v/>
      </c>
      <c r="AJ65" s="24">
        <f>IF($A65="","",N(AH65)-N(AI65))</f>
        <v/>
      </c>
      <c r="AK65" s="22" t="n"/>
      <c r="AL65" s="23">
        <f>IF($A65="","",IFERROR(SUMPRODUCT(('[1]عهد ومصروفات بدر'!$H$8:$H$5007=$A65)*('[1]عهد ومصروفات بدر'!$S$8:$S$5007=12)*'[1]عهد ومصروفات بدر'!$T$8:$T$5007),0))</f>
        <v/>
      </c>
      <c r="AM65" s="24">
        <f>IF($A65="","",N(AK65)-N(AL65))</f>
        <v/>
      </c>
      <c r="AN65" s="25">
        <f>IF(A65="","",N(D65)+N(G65)+N(J65)+N(M65)+N(P65)+N(S65)+N(V65)+N(Y65)+N(AB65)+N(AE65)+N(AH65)+N(AK65))</f>
        <v/>
      </c>
      <c r="AO65" s="25">
        <f>IF(A65="","",N(E65)+N(H65)+N(K65)+N(N65)+N(Q65)+N(T65)+N(W65)+N(Z65)+N(AC65)+N(AF65)+N(AI65)+N(AL65))</f>
        <v/>
      </c>
      <c r="AP65" s="26">
        <f>IF(A65="","",N(B65)-AO65)</f>
        <v/>
      </c>
      <c r="AQ65">
        <f>IF(A65="",0,(N(F65)&lt;0)+(N(I65)&lt;0)+(N(L65)&lt;0)+(N(O65)&lt;0)+(N(R65)&lt;0)+(N(U65)&lt;0)+(N(X65)&lt;0)+(N(AA65)&lt;0)+(N(AD65)&lt;0)+(N(AG65)&lt;0)+(N(AJ65)&lt;0)+(N(AM65)&lt;0))</f>
        <v/>
      </c>
      <c r="AR65">
        <f>IF(A65="",0,MAX(0,-N(F65))+MAX(0,-N(I65))+MAX(0,-N(L65))+MAX(0,-N(O65))+MAX(0,-N(R65))+MAX(0,-N(U65))+MAX(0,-N(X65))+MAX(0,-N(AA65))+MAX(0,-N(AD65))+MAX(0,-N(AG65))+MAX(0,-N(AJ65))+MAX(0,-N(AM65)))</f>
        <v/>
      </c>
      <c r="AS65">
        <f>IF(A65="",0,IF(OR(N(AP65)&lt;0,AQ65&gt;0),1,0))</f>
        <v/>
      </c>
      <c r="AT65">
        <f>AT64+AS65</f>
        <v/>
      </c>
      <c r="AU65">
        <f>IF(A65="",-1,N(AO65)+ROW()/10000000)</f>
        <v/>
      </c>
    </row>
    <row r="66">
      <c r="A66" s="19" t="n"/>
      <c r="B66" s="20" t="n"/>
      <c r="C66" s="21">
        <f>IF(A66="","",N(B66)/12)</f>
        <v/>
      </c>
      <c r="D66" s="22" t="n"/>
      <c r="E66" s="23">
        <f>IF($A66="","",IFERROR(SUMPRODUCT(('[1]عهد ومصروفات بدر'!$H$8:$H$5007=$A66)*('[1]عهد ومصروفات بدر'!$S$8:$S$5007=1)*'[1]عهد ومصروفات بدر'!$T$8:$T$5007),0))</f>
        <v/>
      </c>
      <c r="F66" s="24">
        <f>IF($A66="","",N(D66)-N(E66))</f>
        <v/>
      </c>
      <c r="G66" s="22" t="n"/>
      <c r="H66" s="23">
        <f>IF($A66="","",IFERROR(SUMPRODUCT(('[1]عهد ومصروفات بدر'!$H$8:$H$5007=$A66)*('[1]عهد ومصروفات بدر'!$S$8:$S$5007=2)*'[1]عهد ومصروفات بدر'!$T$8:$T$5007),0))</f>
        <v/>
      </c>
      <c r="I66" s="24">
        <f>IF($A66="","",N(G66)-N(H66))</f>
        <v/>
      </c>
      <c r="J66" s="22" t="n"/>
      <c r="K66" s="23">
        <f>IF($A66="","",IFERROR(SUMPRODUCT(('[1]عهد ومصروفات بدر'!$H$8:$H$5007=$A66)*('[1]عهد ومصروفات بدر'!$S$8:$S$5007=3)*'[1]عهد ومصروفات بدر'!$T$8:$T$5007),0))</f>
        <v/>
      </c>
      <c r="L66" s="24">
        <f>IF($A66="","",N(J66)-N(K66))</f>
        <v/>
      </c>
      <c r="M66" s="22" t="n"/>
      <c r="N66" s="23">
        <f>IF($A66="","",IFERROR(SUMPRODUCT(('[1]عهد ومصروفات بدر'!$H$8:$H$5007=$A66)*('[1]عهد ومصروفات بدر'!$S$8:$S$5007=4)*'[1]عهد ومصروفات بدر'!$T$8:$T$5007),0))</f>
        <v/>
      </c>
      <c r="O66" s="24">
        <f>IF($A66="","",N(M66)-N(N66))</f>
        <v/>
      </c>
      <c r="P66" s="22" t="n"/>
      <c r="Q66" s="23">
        <f>IF($A66="","",IFERROR(SUMPRODUCT(('[1]عهد ومصروفات بدر'!$H$8:$H$5007=$A66)*('[1]عهد ومصروفات بدر'!$S$8:$S$5007=5)*'[1]عهد ومصروفات بدر'!$T$8:$T$5007),0))</f>
        <v/>
      </c>
      <c r="R66" s="24">
        <f>IF($A66="","",N(P66)-N(Q66))</f>
        <v/>
      </c>
      <c r="S66" s="22" t="n"/>
      <c r="T66" s="23">
        <f>IF($A66="","",IFERROR(SUMPRODUCT(('[1]عهد ومصروفات بدر'!$H$8:$H$5007=$A66)*('[1]عهد ومصروفات بدر'!$S$8:$S$5007=6)*'[1]عهد ومصروفات بدر'!$T$8:$T$5007),0))</f>
        <v/>
      </c>
      <c r="U66" s="24">
        <f>IF($A66="","",N(S66)-N(T66))</f>
        <v/>
      </c>
      <c r="V66" s="22" t="n"/>
      <c r="W66" s="23">
        <f>IF($A66="","",IFERROR(SUMPRODUCT(('[1]عهد ومصروفات بدر'!$H$8:$H$5007=$A66)*('[1]عهد ومصروفات بدر'!$S$8:$S$5007=7)*'[1]عهد ومصروفات بدر'!$T$8:$T$5007),0))</f>
        <v/>
      </c>
      <c r="X66" s="24">
        <f>IF($A66="","",N(V66)-N(W66))</f>
        <v/>
      </c>
      <c r="Y66" s="22" t="n"/>
      <c r="Z66" s="23">
        <f>IF($A66="","",IFERROR(SUMPRODUCT(('[1]عهد ومصروفات بدر'!$H$8:$H$5007=$A66)*('[1]عهد ومصروفات بدر'!$S$8:$S$5007=8)*'[1]عهد ومصروفات بدر'!$T$8:$T$5007),0))</f>
        <v/>
      </c>
      <c r="AA66" s="24">
        <f>IF($A66="","",N(Y66)-N(Z66))</f>
        <v/>
      </c>
      <c r="AB66" s="22" t="n"/>
      <c r="AC66" s="23">
        <f>IF($A66="","",IFERROR(SUMPRODUCT(('[1]عهد ومصروفات بدر'!$H$8:$H$5007=$A66)*('[1]عهد ومصروفات بدر'!$S$8:$S$5007=9)*'[1]عهد ومصروفات بدر'!$T$8:$T$5007),0))</f>
        <v/>
      </c>
      <c r="AD66" s="24">
        <f>IF($A66="","",N(AB66)-N(AC66))</f>
        <v/>
      </c>
      <c r="AE66" s="22" t="n"/>
      <c r="AF66" s="23">
        <f>IF($A66="","",IFERROR(SUMPRODUCT(('[1]عهد ومصروفات بدر'!$H$8:$H$5007=$A66)*('[1]عهد ومصروفات بدر'!$S$8:$S$5007=10)*'[1]عهد ومصروفات بدر'!$T$8:$T$5007),0))</f>
        <v/>
      </c>
      <c r="AG66" s="24">
        <f>IF($A66="","",N(AE66)-N(AF66))</f>
        <v/>
      </c>
      <c r="AH66" s="22" t="n"/>
      <c r="AI66" s="23">
        <f>IF($A66="","",IFERROR(SUMPRODUCT(('[1]عهد ومصروفات بدر'!$H$8:$H$5007=$A66)*('[1]عهد ومصروفات بدر'!$S$8:$S$5007=11)*'[1]عهد ومصروفات بدر'!$T$8:$T$5007),0))</f>
        <v/>
      </c>
      <c r="AJ66" s="24">
        <f>IF($A66="","",N(AH66)-N(AI66))</f>
        <v/>
      </c>
      <c r="AK66" s="22" t="n"/>
      <c r="AL66" s="23">
        <f>IF($A66="","",IFERROR(SUMPRODUCT(('[1]عهد ومصروفات بدر'!$H$8:$H$5007=$A66)*('[1]عهد ومصروفات بدر'!$S$8:$S$5007=12)*'[1]عهد ومصروفات بدر'!$T$8:$T$5007),0))</f>
        <v/>
      </c>
      <c r="AM66" s="24">
        <f>IF($A66="","",N(AK66)-N(AL66))</f>
        <v/>
      </c>
      <c r="AN66" s="25">
        <f>IF(A66="","",N(D66)+N(G66)+N(J66)+N(M66)+N(P66)+N(S66)+N(V66)+N(Y66)+N(AB66)+N(AE66)+N(AH66)+N(AK66))</f>
        <v/>
      </c>
      <c r="AO66" s="25">
        <f>IF(A66="","",N(E66)+N(H66)+N(K66)+N(N66)+N(Q66)+N(T66)+N(W66)+N(Z66)+N(AC66)+N(AF66)+N(AI66)+N(AL66))</f>
        <v/>
      </c>
      <c r="AP66" s="26">
        <f>IF(A66="","",N(B66)-AO66)</f>
        <v/>
      </c>
      <c r="AQ66">
        <f>IF(A66="",0,(N(F66)&lt;0)+(N(I66)&lt;0)+(N(L66)&lt;0)+(N(O66)&lt;0)+(N(R66)&lt;0)+(N(U66)&lt;0)+(N(X66)&lt;0)+(N(AA66)&lt;0)+(N(AD66)&lt;0)+(N(AG66)&lt;0)+(N(AJ66)&lt;0)+(N(AM66)&lt;0))</f>
        <v/>
      </c>
      <c r="AR66">
        <f>IF(A66="",0,MAX(0,-N(F66))+MAX(0,-N(I66))+MAX(0,-N(L66))+MAX(0,-N(O66))+MAX(0,-N(R66))+MAX(0,-N(U66))+MAX(0,-N(X66))+MAX(0,-N(AA66))+MAX(0,-N(AD66))+MAX(0,-N(AG66))+MAX(0,-N(AJ66))+MAX(0,-N(AM66)))</f>
        <v/>
      </c>
      <c r="AS66">
        <f>IF(A66="",0,IF(OR(N(AP66)&lt;0,AQ66&gt;0),1,0))</f>
        <v/>
      </c>
      <c r="AT66">
        <f>AT65+AS66</f>
        <v/>
      </c>
      <c r="AU66">
        <f>IF(A66="",-1,N(AO66)+ROW()/10000000)</f>
        <v/>
      </c>
    </row>
    <row r="67">
      <c r="A67" s="19" t="n"/>
      <c r="B67" s="20" t="n"/>
      <c r="C67" s="21">
        <f>IF(A67="","",N(B67)/12)</f>
        <v/>
      </c>
      <c r="D67" s="22" t="n"/>
      <c r="E67" s="23">
        <f>IF($A67="","",IFERROR(SUMPRODUCT(('[1]عهد ومصروفات بدر'!$H$8:$H$5007=$A67)*('[1]عهد ومصروفات بدر'!$S$8:$S$5007=1)*'[1]عهد ومصروفات بدر'!$T$8:$T$5007),0))</f>
        <v/>
      </c>
      <c r="F67" s="24">
        <f>IF($A67="","",N(D67)-N(E67))</f>
        <v/>
      </c>
      <c r="G67" s="22" t="n"/>
      <c r="H67" s="23">
        <f>IF($A67="","",IFERROR(SUMPRODUCT(('[1]عهد ومصروفات بدر'!$H$8:$H$5007=$A67)*('[1]عهد ومصروفات بدر'!$S$8:$S$5007=2)*'[1]عهد ومصروفات بدر'!$T$8:$T$5007),0))</f>
        <v/>
      </c>
      <c r="I67" s="24">
        <f>IF($A67="","",N(G67)-N(H67))</f>
        <v/>
      </c>
      <c r="J67" s="22" t="n"/>
      <c r="K67" s="23">
        <f>IF($A67="","",IFERROR(SUMPRODUCT(('[1]عهد ومصروفات بدر'!$H$8:$H$5007=$A67)*('[1]عهد ومصروفات بدر'!$S$8:$S$5007=3)*'[1]عهد ومصروفات بدر'!$T$8:$T$5007),0))</f>
        <v/>
      </c>
      <c r="L67" s="24">
        <f>IF($A67="","",N(J67)-N(K67))</f>
        <v/>
      </c>
      <c r="M67" s="22" t="n"/>
      <c r="N67" s="23">
        <f>IF($A67="","",IFERROR(SUMPRODUCT(('[1]عهد ومصروفات بدر'!$H$8:$H$5007=$A67)*('[1]عهد ومصروفات بدر'!$S$8:$S$5007=4)*'[1]عهد ومصروفات بدر'!$T$8:$T$5007),0))</f>
        <v/>
      </c>
      <c r="O67" s="24">
        <f>IF($A67="","",N(M67)-N(N67))</f>
        <v/>
      </c>
      <c r="P67" s="22" t="n"/>
      <c r="Q67" s="23">
        <f>IF($A67="","",IFERROR(SUMPRODUCT(('[1]عهد ومصروفات بدر'!$H$8:$H$5007=$A67)*('[1]عهد ومصروفات بدر'!$S$8:$S$5007=5)*'[1]عهد ومصروفات بدر'!$T$8:$T$5007),0))</f>
        <v/>
      </c>
      <c r="R67" s="24">
        <f>IF($A67="","",N(P67)-N(Q67))</f>
        <v/>
      </c>
      <c r="S67" s="22" t="n"/>
      <c r="T67" s="23">
        <f>IF($A67="","",IFERROR(SUMPRODUCT(('[1]عهد ومصروفات بدر'!$H$8:$H$5007=$A67)*('[1]عهد ومصروفات بدر'!$S$8:$S$5007=6)*'[1]عهد ومصروفات بدر'!$T$8:$T$5007),0))</f>
        <v/>
      </c>
      <c r="U67" s="24">
        <f>IF($A67="","",N(S67)-N(T67))</f>
        <v/>
      </c>
      <c r="V67" s="22" t="n"/>
      <c r="W67" s="23">
        <f>IF($A67="","",IFERROR(SUMPRODUCT(('[1]عهد ومصروفات بدر'!$H$8:$H$5007=$A67)*('[1]عهد ومصروفات بدر'!$S$8:$S$5007=7)*'[1]عهد ومصروفات بدر'!$T$8:$T$5007),0))</f>
        <v/>
      </c>
      <c r="X67" s="24">
        <f>IF($A67="","",N(V67)-N(W67))</f>
        <v/>
      </c>
      <c r="Y67" s="22" t="n"/>
      <c r="Z67" s="23">
        <f>IF($A67="","",IFERROR(SUMPRODUCT(('[1]عهد ومصروفات بدر'!$H$8:$H$5007=$A67)*('[1]عهد ومصروفات بدر'!$S$8:$S$5007=8)*'[1]عهد ومصروفات بدر'!$T$8:$T$5007),0))</f>
        <v/>
      </c>
      <c r="AA67" s="24">
        <f>IF($A67="","",N(Y67)-N(Z67))</f>
        <v/>
      </c>
      <c r="AB67" s="22" t="n"/>
      <c r="AC67" s="23">
        <f>IF($A67="","",IFERROR(SUMPRODUCT(('[1]عهد ومصروفات بدر'!$H$8:$H$5007=$A67)*('[1]عهد ومصروفات بدر'!$S$8:$S$5007=9)*'[1]عهد ومصروفات بدر'!$T$8:$T$5007),0))</f>
        <v/>
      </c>
      <c r="AD67" s="24">
        <f>IF($A67="","",N(AB67)-N(AC67))</f>
        <v/>
      </c>
      <c r="AE67" s="22" t="n"/>
      <c r="AF67" s="23">
        <f>IF($A67="","",IFERROR(SUMPRODUCT(('[1]عهد ومصروفات بدر'!$H$8:$H$5007=$A67)*('[1]عهد ومصروفات بدر'!$S$8:$S$5007=10)*'[1]عهد ومصروفات بدر'!$T$8:$T$5007),0))</f>
        <v/>
      </c>
      <c r="AG67" s="24">
        <f>IF($A67="","",N(AE67)-N(AF67))</f>
        <v/>
      </c>
      <c r="AH67" s="22" t="n"/>
      <c r="AI67" s="23">
        <f>IF($A67="","",IFERROR(SUMPRODUCT(('[1]عهد ومصروفات بدر'!$H$8:$H$5007=$A67)*('[1]عهد ومصروفات بدر'!$S$8:$S$5007=11)*'[1]عهد ومصروفات بدر'!$T$8:$T$5007),0))</f>
        <v/>
      </c>
      <c r="AJ67" s="24">
        <f>IF($A67="","",N(AH67)-N(AI67))</f>
        <v/>
      </c>
      <c r="AK67" s="22" t="n"/>
      <c r="AL67" s="23">
        <f>IF($A67="","",IFERROR(SUMPRODUCT(('[1]عهد ومصروفات بدر'!$H$8:$H$5007=$A67)*('[1]عهد ومصروفات بدر'!$S$8:$S$5007=12)*'[1]عهد ومصروفات بدر'!$T$8:$T$5007),0))</f>
        <v/>
      </c>
      <c r="AM67" s="24">
        <f>IF($A67="","",N(AK67)-N(AL67))</f>
        <v/>
      </c>
      <c r="AN67" s="25">
        <f>IF(A67="","",N(D67)+N(G67)+N(J67)+N(M67)+N(P67)+N(S67)+N(V67)+N(Y67)+N(AB67)+N(AE67)+N(AH67)+N(AK67))</f>
        <v/>
      </c>
      <c r="AO67" s="25">
        <f>IF(A67="","",N(E67)+N(H67)+N(K67)+N(N67)+N(Q67)+N(T67)+N(W67)+N(Z67)+N(AC67)+N(AF67)+N(AI67)+N(AL67))</f>
        <v/>
      </c>
      <c r="AP67" s="26">
        <f>IF(A67="","",N(B67)-AO67)</f>
        <v/>
      </c>
      <c r="AQ67">
        <f>IF(A67="",0,(N(F67)&lt;0)+(N(I67)&lt;0)+(N(L67)&lt;0)+(N(O67)&lt;0)+(N(R67)&lt;0)+(N(U67)&lt;0)+(N(X67)&lt;0)+(N(AA67)&lt;0)+(N(AD67)&lt;0)+(N(AG67)&lt;0)+(N(AJ67)&lt;0)+(N(AM67)&lt;0))</f>
        <v/>
      </c>
      <c r="AR67">
        <f>IF(A67="",0,MAX(0,-N(F67))+MAX(0,-N(I67))+MAX(0,-N(L67))+MAX(0,-N(O67))+MAX(0,-N(R67))+MAX(0,-N(U67))+MAX(0,-N(X67))+MAX(0,-N(AA67))+MAX(0,-N(AD67))+MAX(0,-N(AG67))+MAX(0,-N(AJ67))+MAX(0,-N(AM67)))</f>
        <v/>
      </c>
      <c r="AS67">
        <f>IF(A67="",0,IF(OR(N(AP67)&lt;0,AQ67&gt;0),1,0))</f>
        <v/>
      </c>
      <c r="AT67">
        <f>AT66+AS67</f>
        <v/>
      </c>
      <c r="AU67">
        <f>IF(A67="",-1,N(AO67)+ROW()/10000000)</f>
        <v/>
      </c>
    </row>
    <row r="68">
      <c r="A68" s="27" t="inlineStr">
        <is>
          <t>الإجمالي</t>
        </is>
      </c>
      <c r="B68" s="28">
        <f>SUM(B8:B67)</f>
        <v/>
      </c>
      <c r="C68" s="28">
        <f>SUM(C8:C67)</f>
        <v/>
      </c>
      <c r="D68" s="28">
        <f>SUM(D8:D67)</f>
        <v/>
      </c>
      <c r="E68" s="28">
        <f>SUM(E8:E67)</f>
        <v/>
      </c>
      <c r="F68" s="29">
        <f>SUM(F8:F67)</f>
        <v/>
      </c>
      <c r="G68" s="28">
        <f>SUM(G8:G67)</f>
        <v/>
      </c>
      <c r="H68" s="28">
        <f>SUM(H8:H67)</f>
        <v/>
      </c>
      <c r="I68" s="29">
        <f>SUM(I8:I67)</f>
        <v/>
      </c>
      <c r="J68" s="28">
        <f>SUM(J8:J67)</f>
        <v/>
      </c>
      <c r="K68" s="28">
        <f>SUM(K8:K67)</f>
        <v/>
      </c>
      <c r="L68" s="29">
        <f>SUM(L8:L67)</f>
        <v/>
      </c>
      <c r="M68" s="28">
        <f>SUM(M8:M67)</f>
        <v/>
      </c>
      <c r="N68" s="28">
        <f>SUM(N8:N67)</f>
        <v/>
      </c>
      <c r="O68" s="29">
        <f>SUM(O8:O67)</f>
        <v/>
      </c>
      <c r="P68" s="28">
        <f>SUM(P8:P67)</f>
        <v/>
      </c>
      <c r="Q68" s="28">
        <f>SUM(Q8:Q67)</f>
        <v/>
      </c>
      <c r="R68" s="29">
        <f>SUM(R8:R67)</f>
        <v/>
      </c>
      <c r="S68" s="28">
        <f>SUM(S8:S67)</f>
        <v/>
      </c>
      <c r="T68" s="28">
        <f>SUM(T8:T67)</f>
        <v/>
      </c>
      <c r="U68" s="29">
        <f>SUM(U8:U67)</f>
        <v/>
      </c>
      <c r="V68" s="28">
        <f>SUM(V8:V67)</f>
        <v/>
      </c>
      <c r="W68" s="28">
        <f>SUM(W8:W67)</f>
        <v/>
      </c>
      <c r="X68" s="29">
        <f>SUM(X8:X67)</f>
        <v/>
      </c>
      <c r="Y68" s="28">
        <f>SUM(Y8:Y67)</f>
        <v/>
      </c>
      <c r="Z68" s="28">
        <f>SUM(Z8:Z67)</f>
        <v/>
      </c>
      <c r="AA68" s="29">
        <f>SUM(AA8:AA67)</f>
        <v/>
      </c>
      <c r="AB68" s="28">
        <f>SUM(AB8:AB67)</f>
        <v/>
      </c>
      <c r="AC68" s="28">
        <f>SUM(AC8:AC67)</f>
        <v/>
      </c>
      <c r="AD68" s="29">
        <f>SUM(AD8:AD67)</f>
        <v/>
      </c>
      <c r="AE68" s="28">
        <f>SUM(AE8:AE67)</f>
        <v/>
      </c>
      <c r="AF68" s="28">
        <f>SUM(AF8:AF67)</f>
        <v/>
      </c>
      <c r="AG68" s="29">
        <f>SUM(AG8:AG67)</f>
        <v/>
      </c>
      <c r="AH68" s="28">
        <f>SUM(AH8:AH67)</f>
        <v/>
      </c>
      <c r="AI68" s="28">
        <f>SUM(AI8:AI67)</f>
        <v/>
      </c>
      <c r="AJ68" s="29">
        <f>SUM(AJ8:AJ67)</f>
        <v/>
      </c>
      <c r="AK68" s="28">
        <f>SUM(AK8:AK67)</f>
        <v/>
      </c>
      <c r="AL68" s="28">
        <f>SUM(AL8:AL67)</f>
        <v/>
      </c>
      <c r="AM68" s="29">
        <f>SUM(AM8:AM67)</f>
        <v/>
      </c>
      <c r="AN68" s="28">
        <f>SUM(AN8:AN67)</f>
        <v/>
      </c>
      <c r="AO68" s="28">
        <f>SUM(AO8:AO67)</f>
        <v/>
      </c>
      <c r="AP68" s="29">
        <f>SUM(AP8:AP67)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1" password="ECB1"/>
  <mergeCells count="28">
    <mergeCell ref="J6:L6"/>
    <mergeCell ref="A4"/>
    <mergeCell ref="A1:AP1"/>
    <mergeCell ref="G6:I6"/>
    <mergeCell ref="B3:C3"/>
    <mergeCell ref="B6"/>
    <mergeCell ref="P6:R6"/>
    <mergeCell ref="G3:I3"/>
    <mergeCell ref="J4:L4"/>
    <mergeCell ref="M6:O6"/>
    <mergeCell ref="V6:X6"/>
    <mergeCell ref="AH6:AJ6"/>
    <mergeCell ref="S6:U6"/>
    <mergeCell ref="Y6:AA6"/>
    <mergeCell ref="D4:F4"/>
    <mergeCell ref="D3:F3"/>
    <mergeCell ref="G4:I4"/>
    <mergeCell ref="C6"/>
    <mergeCell ref="J3:L3"/>
    <mergeCell ref="A2:AP2"/>
    <mergeCell ref="AE6:AG6"/>
    <mergeCell ref="AK6:AM6"/>
    <mergeCell ref="A6"/>
    <mergeCell ref="AB6:AD6"/>
    <mergeCell ref="AN6:AP6"/>
    <mergeCell ref="A3"/>
    <mergeCell ref="D6:F6"/>
    <mergeCell ref="B4:C4"/>
  </mergeCells>
  <conditionalFormatting sqref="F8:F68">
    <cfRule type="expression" priority="1" dxfId="0">
      <formula>AND(ISNUMBER(F8),F8&lt;0)</formula>
    </cfRule>
  </conditionalFormatting>
  <conditionalFormatting sqref="I8:I68">
    <cfRule type="expression" priority="2" dxfId="0">
      <formula>AND(ISNUMBER(I8),I8&lt;0)</formula>
    </cfRule>
  </conditionalFormatting>
  <conditionalFormatting sqref="L8:L68">
    <cfRule type="expression" priority="3" dxfId="0">
      <formula>AND(ISNUMBER(L8),L8&lt;0)</formula>
    </cfRule>
  </conditionalFormatting>
  <conditionalFormatting sqref="O8:O68">
    <cfRule type="expression" priority="4" dxfId="0">
      <formula>AND(ISNUMBER(O8),O8&lt;0)</formula>
    </cfRule>
  </conditionalFormatting>
  <conditionalFormatting sqref="R8:R68">
    <cfRule type="expression" priority="5" dxfId="0">
      <formula>AND(ISNUMBER(R8),R8&lt;0)</formula>
    </cfRule>
  </conditionalFormatting>
  <conditionalFormatting sqref="U8:U68">
    <cfRule type="expression" priority="6" dxfId="0">
      <formula>AND(ISNUMBER(U8),U8&lt;0)</formula>
    </cfRule>
  </conditionalFormatting>
  <conditionalFormatting sqref="X8:X68">
    <cfRule type="expression" priority="7" dxfId="0">
      <formula>AND(ISNUMBER(X8),X8&lt;0)</formula>
    </cfRule>
  </conditionalFormatting>
  <conditionalFormatting sqref="AA8:AA68">
    <cfRule type="expression" priority="8" dxfId="0">
      <formula>AND(ISNUMBER(AA8),AA8&lt;0)</formula>
    </cfRule>
  </conditionalFormatting>
  <conditionalFormatting sqref="AD8:AD68">
    <cfRule type="expression" priority="9" dxfId="0">
      <formula>AND(ISNUMBER(AD8),AD8&lt;0)</formula>
    </cfRule>
  </conditionalFormatting>
  <conditionalFormatting sqref="AG8:AG68">
    <cfRule type="expression" priority="10" dxfId="0">
      <formula>AND(ISNUMBER(AG8),AG8&lt;0)</formula>
    </cfRule>
  </conditionalFormatting>
  <conditionalFormatting sqref="AJ8:AJ68">
    <cfRule type="expression" priority="11" dxfId="0">
      <formula>AND(ISNUMBER(AJ8),AJ8&lt;0)</formula>
    </cfRule>
  </conditionalFormatting>
  <conditionalFormatting sqref="AM8:AM68">
    <cfRule type="expression" priority="12" dxfId="0">
      <formula>AND(ISNUMBER(AM8),AM8&lt;0)</formula>
    </cfRule>
  </conditionalFormatting>
  <conditionalFormatting sqref="AP8:AP68">
    <cfRule type="expression" priority="13" dxfId="0">
      <formula>AND(ISNUMBER(AP8),AP8&lt;0)</formula>
    </cfRule>
  </conditionalFormatting>
  <conditionalFormatting sqref="AN8:AN67">
    <cfRule type="expression" priority="14" dxfId="1">
      <formula>AND($A8&lt;&gt;"",ABS(N(AN8)-N($B8))&gt;0.5)</formula>
    </cfRule>
  </conditionalFormatting>
  <conditionalFormatting sqref="A8:A67">
    <cfRule type="expression" priority="15" dxfId="0">
      <formula>$AS8=1</formula>
    </cfRule>
  </conditionalFormatting>
  <dataValidations count="3">
    <dataValidation sqref="B8:B67" showDropDown="0" showInputMessage="0" showErrorMessage="1" allowBlank="1" errorTitle="إدخال غير صحيح" error="أدخل رقمًا موجبًا" type="decimal" errorStyle="stop" operator="greaterThanOrEqual">
      <formula1>0</formula1>
    </dataValidation>
    <dataValidation sqref="D8:AM67" showDropDown="0" showInputMessage="0" showErrorMessage="1" allowBlank="1" errorTitle="إدخال غير صحيح" error="أدخل رقمًا موجبًا" type="decimal" errorStyle="stop" operator="greaterThanOrEqual">
      <formula1>0</formula1>
    </dataValidation>
    <dataValidation sqref="A8:A67" showDropDown="0" showInputMessage="0" showErrorMessage="1" allowBlank="1" errorTitle="إدخال غير صحيح" error="اسم البند مكرر" type="custom" errorStyle="stop">
      <formula1>COUNTIF($A$8:$A$67,A8)=1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55A11"/>
    <outlinePr summaryBelow="1" summaryRight="1"/>
    <pageSetUpPr/>
  </sheetPr>
  <dimension ref="A1:L57"/>
  <sheetViews>
    <sheetView showGridLines="0" rightToLeft="1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5" customWidth="1" min="4" max="4"/>
    <col width="11" customWidth="1" min="5" max="5"/>
    <col width="12" customWidth="1" min="6" max="6"/>
    <col width="34" customWidth="1" min="7" max="7"/>
    <col width="14" customWidth="1" min="8" max="8"/>
    <col width="14" customWidth="1" min="9" max="9"/>
    <col width="15" customWidth="1" min="10" max="10"/>
    <col width="11" customWidth="1" min="11" max="11"/>
  </cols>
  <sheetData>
    <row r="1" ht="28" customHeight="1">
      <c r="A1" s="1" t="inlineStr">
        <is>
          <t>التحليل – متابعة تنفيذ موازنات دمياط وبدر</t>
        </is>
      </c>
    </row>
    <row r="2" ht="30" customHeight="1">
      <c r="A2" s="2" t="inlineStr">
        <is>
          <t>كل الأرقام تُحسب تلقائيًا من شيتي الموازنة · لا يوجد إدخال في هذه الصفحة</t>
        </is>
      </c>
    </row>
    <row r="4">
      <c r="A4" s="30" t="inlineStr">
        <is>
          <t>مقارنة دمياط وبدر</t>
        </is>
      </c>
    </row>
    <row r="5">
      <c r="A5" s="31" t="inlineStr">
        <is>
          <t>المدرسة</t>
        </is>
      </c>
      <c r="B5" s="31" t="inlineStr">
        <is>
          <t>الموازنة السنوية</t>
        </is>
      </c>
      <c r="C5" s="31" t="inlineStr">
        <is>
          <t>إجمالي المنصرف</t>
        </is>
      </c>
      <c r="D5" s="31" t="inlineStr">
        <is>
          <t>المتبقي / العجز</t>
        </is>
      </c>
      <c r="E5" s="31" t="inlineStr">
        <is>
          <t>نسبة الصرف</t>
        </is>
      </c>
      <c r="F5" s="31" t="inlineStr">
        <is>
          <t>بنود بها عجز</t>
        </is>
      </c>
    </row>
    <row r="6">
      <c r="A6" s="27" t="inlineStr">
        <is>
          <t>دمياط</t>
        </is>
      </c>
      <c r="B6" s="32">
        <f>SUM('موازنة دمياط'!$B$8:$B$67)</f>
        <v/>
      </c>
      <c r="C6" s="32">
        <f>SUM('موازنة دمياط'!$AO$8:$AO$67)</f>
        <v/>
      </c>
      <c r="D6" s="33">
        <f>B6-C6</f>
        <v/>
      </c>
      <c r="E6" s="34">
        <f>IF(N(B6)=0,0,C6/B6)</f>
        <v/>
      </c>
      <c r="F6" s="35">
        <f>COUNTIF('موازنة دمياط'!$AS$8:$AS$67,1)</f>
        <v/>
      </c>
    </row>
    <row r="7">
      <c r="A7" s="27" t="inlineStr">
        <is>
          <t>بدر</t>
        </is>
      </c>
      <c r="B7" s="32">
        <f>SUM('موازنة بدر'!$B$8:$B$67)</f>
        <v/>
      </c>
      <c r="C7" s="32">
        <f>SUM('موازنة بدر'!$AO$8:$AO$67)</f>
        <v/>
      </c>
      <c r="D7" s="33">
        <f>B7-C7</f>
        <v/>
      </c>
      <c r="E7" s="34">
        <f>IF(N(B7)=0,0,C7/B7)</f>
        <v/>
      </c>
      <c r="F7" s="35">
        <f>COUNTIF('موازنة بدر'!$AS$8:$AS$67,1)</f>
        <v/>
      </c>
    </row>
    <row r="8">
      <c r="A8" s="27" t="inlineStr">
        <is>
          <t>الإجمالي</t>
        </is>
      </c>
      <c r="B8" s="36">
        <f>SUM(B6:B7)</f>
        <v/>
      </c>
      <c r="C8" s="36">
        <f>SUM(C6:C7)</f>
        <v/>
      </c>
      <c r="D8" s="36">
        <f>SUM(D6:D7)</f>
        <v/>
      </c>
      <c r="E8" s="37">
        <f>IF(N(B8)=0,0,C8/B8)</f>
        <v/>
      </c>
      <c r="F8" s="38">
        <f>SUM(F6:F7)</f>
        <v/>
      </c>
    </row>
    <row r="11">
      <c r="A11" s="30" t="inlineStr">
        <is>
          <t>التحليل الشهري: المخصص والمنصرف والمتبقي</t>
        </is>
      </c>
    </row>
    <row r="12">
      <c r="A12" s="15" t="n"/>
      <c r="B12" s="31" t="inlineStr">
        <is>
          <t>دمياط</t>
        </is>
      </c>
      <c r="E12" s="31" t="inlineStr">
        <is>
          <t>بدر</t>
        </is>
      </c>
      <c r="H12" s="31" t="inlineStr">
        <is>
          <t>الإجمالي</t>
        </is>
      </c>
    </row>
    <row r="13">
      <c r="A13" s="18" t="inlineStr">
        <is>
          <t>الشهر</t>
        </is>
      </c>
      <c r="B13" s="18" t="inlineStr">
        <is>
          <t>المخصص</t>
        </is>
      </c>
      <c r="C13" s="18" t="inlineStr">
        <is>
          <t>المنصرف</t>
        </is>
      </c>
      <c r="D13" s="18" t="inlineStr">
        <is>
          <t>المتبقي / العجز</t>
        </is>
      </c>
      <c r="E13" s="18" t="inlineStr">
        <is>
          <t>المخصص</t>
        </is>
      </c>
      <c r="F13" s="18" t="inlineStr">
        <is>
          <t>المنصرف</t>
        </is>
      </c>
      <c r="G13" s="18" t="inlineStr">
        <is>
          <t>المتبقي / العجز</t>
        </is>
      </c>
      <c r="H13" s="18" t="inlineStr">
        <is>
          <t>المخصص</t>
        </is>
      </c>
      <c r="I13" s="18" t="inlineStr">
        <is>
          <t>المنصرف</t>
        </is>
      </c>
      <c r="J13" s="18" t="inlineStr">
        <is>
          <t>المتبقي / العجز</t>
        </is>
      </c>
    </row>
    <row r="14">
      <c r="A14" s="27" t="inlineStr">
        <is>
          <t>سبتمبر 2026</t>
        </is>
      </c>
      <c r="B14" s="32">
        <f>SUM('موازنة دمياط'!D$8:D$67)</f>
        <v/>
      </c>
      <c r="C14" s="32">
        <f>SUM('موازنة دمياط'!E$8:E$67)</f>
        <v/>
      </c>
      <c r="D14" s="33">
        <f>B14-C14</f>
        <v/>
      </c>
      <c r="E14" s="32">
        <f>SUM('موازنة بدر'!D$8:D$67)</f>
        <v/>
      </c>
      <c r="F14" s="32">
        <f>SUM('موازنة بدر'!E$8:E$67)</f>
        <v/>
      </c>
      <c r="G14" s="33">
        <f>E14-F14</f>
        <v/>
      </c>
      <c r="H14" s="39">
        <f>B14+E14</f>
        <v/>
      </c>
      <c r="I14" s="39">
        <f>C14+F14</f>
        <v/>
      </c>
      <c r="J14" s="40">
        <f>H14-I14</f>
        <v/>
      </c>
    </row>
    <row r="15">
      <c r="A15" s="27" t="inlineStr">
        <is>
          <t>أكتوبر 2026</t>
        </is>
      </c>
      <c r="B15" s="32">
        <f>SUM('موازنة دمياط'!G$8:G$67)</f>
        <v/>
      </c>
      <c r="C15" s="32">
        <f>SUM('موازنة دمياط'!H$8:H$67)</f>
        <v/>
      </c>
      <c r="D15" s="33">
        <f>B15-C15</f>
        <v/>
      </c>
      <c r="E15" s="32">
        <f>SUM('موازنة بدر'!G$8:G$67)</f>
        <v/>
      </c>
      <c r="F15" s="32">
        <f>SUM('موازنة بدر'!H$8:H$67)</f>
        <v/>
      </c>
      <c r="G15" s="33">
        <f>E15-F15</f>
        <v/>
      </c>
      <c r="H15" s="39">
        <f>B15+E15</f>
        <v/>
      </c>
      <c r="I15" s="39">
        <f>C15+F15</f>
        <v/>
      </c>
      <c r="J15" s="40">
        <f>H15-I15</f>
        <v/>
      </c>
    </row>
    <row r="16">
      <c r="A16" s="27" t="inlineStr">
        <is>
          <t>نوفمبر 2026</t>
        </is>
      </c>
      <c r="B16" s="32">
        <f>SUM('موازنة دمياط'!J$8:J$67)</f>
        <v/>
      </c>
      <c r="C16" s="32">
        <f>SUM('موازنة دمياط'!K$8:K$67)</f>
        <v/>
      </c>
      <c r="D16" s="33">
        <f>B16-C16</f>
        <v/>
      </c>
      <c r="E16" s="32">
        <f>SUM('موازنة بدر'!J$8:J$67)</f>
        <v/>
      </c>
      <c r="F16" s="32">
        <f>SUM('موازنة بدر'!K$8:K$67)</f>
        <v/>
      </c>
      <c r="G16" s="33">
        <f>E16-F16</f>
        <v/>
      </c>
      <c r="H16" s="39">
        <f>B16+E16</f>
        <v/>
      </c>
      <c r="I16" s="39">
        <f>C16+F16</f>
        <v/>
      </c>
      <c r="J16" s="40">
        <f>H16-I16</f>
        <v/>
      </c>
    </row>
    <row r="17">
      <c r="A17" s="27" t="inlineStr">
        <is>
          <t>ديسمبر 2026</t>
        </is>
      </c>
      <c r="B17" s="32">
        <f>SUM('موازنة دمياط'!M$8:M$67)</f>
        <v/>
      </c>
      <c r="C17" s="32">
        <f>SUM('موازنة دمياط'!N$8:N$67)</f>
        <v/>
      </c>
      <c r="D17" s="33">
        <f>B17-C17</f>
        <v/>
      </c>
      <c r="E17" s="32">
        <f>SUM('موازنة بدر'!M$8:M$67)</f>
        <v/>
      </c>
      <c r="F17" s="32">
        <f>SUM('موازنة بدر'!N$8:N$67)</f>
        <v/>
      </c>
      <c r="G17" s="33">
        <f>E17-F17</f>
        <v/>
      </c>
      <c r="H17" s="39">
        <f>B17+E17</f>
        <v/>
      </c>
      <c r="I17" s="39">
        <f>C17+F17</f>
        <v/>
      </c>
      <c r="J17" s="40">
        <f>H17-I17</f>
        <v/>
      </c>
    </row>
    <row r="18">
      <c r="A18" s="27" t="inlineStr">
        <is>
          <t>يناير 2027</t>
        </is>
      </c>
      <c r="B18" s="32">
        <f>SUM('موازنة دمياط'!P$8:P$67)</f>
        <v/>
      </c>
      <c r="C18" s="32">
        <f>SUM('موازنة دمياط'!Q$8:Q$67)</f>
        <v/>
      </c>
      <c r="D18" s="33">
        <f>B18-C18</f>
        <v/>
      </c>
      <c r="E18" s="32">
        <f>SUM('موازنة بدر'!P$8:P$67)</f>
        <v/>
      </c>
      <c r="F18" s="32">
        <f>SUM('موازنة بدر'!Q$8:Q$67)</f>
        <v/>
      </c>
      <c r="G18" s="33">
        <f>E18-F18</f>
        <v/>
      </c>
      <c r="H18" s="39">
        <f>B18+E18</f>
        <v/>
      </c>
      <c r="I18" s="39">
        <f>C18+F18</f>
        <v/>
      </c>
      <c r="J18" s="40">
        <f>H18-I18</f>
        <v/>
      </c>
    </row>
    <row r="19">
      <c r="A19" s="27" t="inlineStr">
        <is>
          <t>فبراير 2027</t>
        </is>
      </c>
      <c r="B19" s="32">
        <f>SUM('موازنة دمياط'!S$8:S$67)</f>
        <v/>
      </c>
      <c r="C19" s="32">
        <f>SUM('موازنة دمياط'!T$8:T$67)</f>
        <v/>
      </c>
      <c r="D19" s="33">
        <f>B19-C19</f>
        <v/>
      </c>
      <c r="E19" s="32">
        <f>SUM('موازنة بدر'!S$8:S$67)</f>
        <v/>
      </c>
      <c r="F19" s="32">
        <f>SUM('موازنة بدر'!T$8:T$67)</f>
        <v/>
      </c>
      <c r="G19" s="33">
        <f>E19-F19</f>
        <v/>
      </c>
      <c r="H19" s="39">
        <f>B19+E19</f>
        <v/>
      </c>
      <c r="I19" s="39">
        <f>C19+F19</f>
        <v/>
      </c>
      <c r="J19" s="40">
        <f>H19-I19</f>
        <v/>
      </c>
    </row>
    <row r="20">
      <c r="A20" s="27" t="inlineStr">
        <is>
          <t>مارس 2027</t>
        </is>
      </c>
      <c r="B20" s="32">
        <f>SUM('موازنة دمياط'!V$8:V$67)</f>
        <v/>
      </c>
      <c r="C20" s="32">
        <f>SUM('موازنة دمياط'!W$8:W$67)</f>
        <v/>
      </c>
      <c r="D20" s="33">
        <f>B20-C20</f>
        <v/>
      </c>
      <c r="E20" s="32">
        <f>SUM('موازنة بدر'!V$8:V$67)</f>
        <v/>
      </c>
      <c r="F20" s="32">
        <f>SUM('موازنة بدر'!W$8:W$67)</f>
        <v/>
      </c>
      <c r="G20" s="33">
        <f>E20-F20</f>
        <v/>
      </c>
      <c r="H20" s="39">
        <f>B20+E20</f>
        <v/>
      </c>
      <c r="I20" s="39">
        <f>C20+F20</f>
        <v/>
      </c>
      <c r="J20" s="40">
        <f>H20-I20</f>
        <v/>
      </c>
    </row>
    <row r="21">
      <c r="A21" s="27" t="inlineStr">
        <is>
          <t>أبريل 2027</t>
        </is>
      </c>
      <c r="B21" s="32">
        <f>SUM('موازنة دمياط'!Y$8:Y$67)</f>
        <v/>
      </c>
      <c r="C21" s="32">
        <f>SUM('موازنة دمياط'!Z$8:Z$67)</f>
        <v/>
      </c>
      <c r="D21" s="33">
        <f>B21-C21</f>
        <v/>
      </c>
      <c r="E21" s="32">
        <f>SUM('موازنة بدر'!Y$8:Y$67)</f>
        <v/>
      </c>
      <c r="F21" s="32">
        <f>SUM('موازنة بدر'!Z$8:Z$67)</f>
        <v/>
      </c>
      <c r="G21" s="33">
        <f>E21-F21</f>
        <v/>
      </c>
      <c r="H21" s="39">
        <f>B21+E21</f>
        <v/>
      </c>
      <c r="I21" s="39">
        <f>C21+F21</f>
        <v/>
      </c>
      <c r="J21" s="40">
        <f>H21-I21</f>
        <v/>
      </c>
    </row>
    <row r="22">
      <c r="A22" s="27" t="inlineStr">
        <is>
          <t>مايو 2027</t>
        </is>
      </c>
      <c r="B22" s="32">
        <f>SUM('موازنة دمياط'!AB$8:AB$67)</f>
        <v/>
      </c>
      <c r="C22" s="32">
        <f>SUM('موازنة دمياط'!AC$8:AC$67)</f>
        <v/>
      </c>
      <c r="D22" s="33">
        <f>B22-C22</f>
        <v/>
      </c>
      <c r="E22" s="32">
        <f>SUM('موازنة بدر'!AB$8:AB$67)</f>
        <v/>
      </c>
      <c r="F22" s="32">
        <f>SUM('موازنة بدر'!AC$8:AC$67)</f>
        <v/>
      </c>
      <c r="G22" s="33">
        <f>E22-F22</f>
        <v/>
      </c>
      <c r="H22" s="39">
        <f>B22+E22</f>
        <v/>
      </c>
      <c r="I22" s="39">
        <f>C22+F22</f>
        <v/>
      </c>
      <c r="J22" s="40">
        <f>H22-I22</f>
        <v/>
      </c>
    </row>
    <row r="23">
      <c r="A23" s="27" t="inlineStr">
        <is>
          <t>يونيو 2027</t>
        </is>
      </c>
      <c r="B23" s="32">
        <f>SUM('موازنة دمياط'!AE$8:AE$67)</f>
        <v/>
      </c>
      <c r="C23" s="32">
        <f>SUM('موازنة دمياط'!AF$8:AF$67)</f>
        <v/>
      </c>
      <c r="D23" s="33">
        <f>B23-C23</f>
        <v/>
      </c>
      <c r="E23" s="32">
        <f>SUM('موازنة بدر'!AE$8:AE$67)</f>
        <v/>
      </c>
      <c r="F23" s="32">
        <f>SUM('موازنة بدر'!AF$8:AF$67)</f>
        <v/>
      </c>
      <c r="G23" s="33">
        <f>E23-F23</f>
        <v/>
      </c>
      <c r="H23" s="39">
        <f>B23+E23</f>
        <v/>
      </c>
      <c r="I23" s="39">
        <f>C23+F23</f>
        <v/>
      </c>
      <c r="J23" s="40">
        <f>H23-I23</f>
        <v/>
      </c>
    </row>
    <row r="24">
      <c r="A24" s="27" t="inlineStr">
        <is>
          <t>يوليو 2027</t>
        </is>
      </c>
      <c r="B24" s="32">
        <f>SUM('موازنة دمياط'!AH$8:AH$67)</f>
        <v/>
      </c>
      <c r="C24" s="32">
        <f>SUM('موازنة دمياط'!AI$8:AI$67)</f>
        <v/>
      </c>
      <c r="D24" s="33">
        <f>B24-C24</f>
        <v/>
      </c>
      <c r="E24" s="32">
        <f>SUM('موازنة بدر'!AH$8:AH$67)</f>
        <v/>
      </c>
      <c r="F24" s="32">
        <f>SUM('موازنة بدر'!AI$8:AI$67)</f>
        <v/>
      </c>
      <c r="G24" s="33">
        <f>E24-F24</f>
        <v/>
      </c>
      <c r="H24" s="39">
        <f>B24+E24</f>
        <v/>
      </c>
      <c r="I24" s="39">
        <f>C24+F24</f>
        <v/>
      </c>
      <c r="J24" s="40">
        <f>H24-I24</f>
        <v/>
      </c>
    </row>
    <row r="25">
      <c r="A25" s="27" t="inlineStr">
        <is>
          <t>أغسطس 2027</t>
        </is>
      </c>
      <c r="B25" s="32">
        <f>SUM('موازنة دمياط'!AK$8:AK$67)</f>
        <v/>
      </c>
      <c r="C25" s="32">
        <f>SUM('موازنة دمياط'!AL$8:AL$67)</f>
        <v/>
      </c>
      <c r="D25" s="33">
        <f>B25-C25</f>
        <v/>
      </c>
      <c r="E25" s="32">
        <f>SUM('موازنة بدر'!AK$8:AK$67)</f>
        <v/>
      </c>
      <c r="F25" s="32">
        <f>SUM('موازنة بدر'!AL$8:AL$67)</f>
        <v/>
      </c>
      <c r="G25" s="33">
        <f>E25-F25</f>
        <v/>
      </c>
      <c r="H25" s="39">
        <f>B25+E25</f>
        <v/>
      </c>
      <c r="I25" s="39">
        <f>C25+F25</f>
        <v/>
      </c>
      <c r="J25" s="40">
        <f>H25-I25</f>
        <v/>
      </c>
    </row>
    <row r="26">
      <c r="A26" s="27" t="inlineStr">
        <is>
          <t>الإجمالي</t>
        </is>
      </c>
      <c r="B26" s="36">
        <f>SUM(B14:B25)</f>
        <v/>
      </c>
      <c r="C26" s="36">
        <f>SUM(C14:C25)</f>
        <v/>
      </c>
      <c r="D26" s="41">
        <f>SUM(D14:D25)</f>
        <v/>
      </c>
      <c r="E26" s="36">
        <f>SUM(E14:E25)</f>
        <v/>
      </c>
      <c r="F26" s="36">
        <f>SUM(F14:F25)</f>
        <v/>
      </c>
      <c r="G26" s="41">
        <f>SUM(G14:G25)</f>
        <v/>
      </c>
      <c r="H26" s="36">
        <f>SUM(H14:H25)</f>
        <v/>
      </c>
      <c r="I26" s="36">
        <f>SUM(I14:I25)</f>
        <v/>
      </c>
      <c r="J26" s="41">
        <f>SUM(J14:J25)</f>
        <v/>
      </c>
    </row>
    <row r="29">
      <c r="A29" s="42" t="inlineStr">
        <is>
          <t>البنود التي بها عجز (سنوي أو في شهر واحد على الأقل)</t>
        </is>
      </c>
    </row>
    <row r="30">
      <c r="A30" s="31" t="inlineStr">
        <is>
          <t>دمياط</t>
        </is>
      </c>
      <c r="G30" s="31" t="inlineStr">
        <is>
          <t>بدر</t>
        </is>
      </c>
    </row>
    <row r="31">
      <c r="A31" s="18" t="inlineStr">
        <is>
          <t>البند</t>
        </is>
      </c>
      <c r="B31" s="18" t="inlineStr">
        <is>
          <t>المخصص السنوي</t>
        </is>
      </c>
      <c r="C31" s="18" t="inlineStr">
        <is>
          <t>المنصرف</t>
        </is>
      </c>
      <c r="D31" s="18" t="inlineStr">
        <is>
          <t>المتبقي / العجز السنوي</t>
        </is>
      </c>
      <c r="E31" s="18" t="inlineStr">
        <is>
          <t>أشهر بها عجز</t>
        </is>
      </c>
      <c r="G31" s="18" t="inlineStr">
        <is>
          <t>البند</t>
        </is>
      </c>
      <c r="H31" s="18" t="inlineStr">
        <is>
          <t>المخصص السنوي</t>
        </is>
      </c>
      <c r="I31" s="18" t="inlineStr">
        <is>
          <t>المنصرف</t>
        </is>
      </c>
      <c r="J31" s="18" t="inlineStr">
        <is>
          <t>المتبقي / العجز السنوي</t>
        </is>
      </c>
      <c r="K31" s="18" t="inlineStr">
        <is>
          <t>أشهر بها عجز</t>
        </is>
      </c>
    </row>
    <row r="32">
      <c r="A32" s="43">
        <f>IFERROR(INDEX('موازنة دمياط'!$A$8:$A$67,MATCH(1,'موازنة دمياط'!$AT$8:$AT$67,0)),"")</f>
        <v/>
      </c>
      <c r="B32" s="23">
        <f>IFERROR(INDEX('موازنة دمياط'!$B$8:$B$67,MATCH(1,'موازنة دمياط'!$AT$8:$AT$67,0)),"")</f>
        <v/>
      </c>
      <c r="C32" s="23">
        <f>IFERROR(INDEX('موازنة دمياط'!$AO$8:$AO$67,MATCH(1,'موازنة دمياط'!$AT$8:$AT$67,0)),"")</f>
        <v/>
      </c>
      <c r="D32" s="44">
        <f>IFERROR(INDEX('موازنة دمياط'!$AP$8:$AP$67,MATCH(1,'موازنة دمياط'!$AT$8:$AT$67,0)),"")</f>
        <v/>
      </c>
      <c r="E32" s="45">
        <f>IFERROR(INDEX('موازنة دمياط'!$AQ$8:$AQ$67,MATCH(1,'موازنة دمياط'!$AT$8:$AT$67,0)),"")</f>
        <v/>
      </c>
      <c r="G32" s="43">
        <f>IFERROR(INDEX('موازنة بدر'!$A$8:$A$67,MATCH(1,'موازنة بدر'!$AT$8:$AT$67,0)),"")</f>
        <v/>
      </c>
      <c r="H32" s="23">
        <f>IFERROR(INDEX('موازنة بدر'!$B$8:$B$67,MATCH(1,'موازنة بدر'!$AT$8:$AT$67,0)),"")</f>
        <v/>
      </c>
      <c r="I32" s="23">
        <f>IFERROR(INDEX('موازنة بدر'!$AO$8:$AO$67,MATCH(1,'موازنة بدر'!$AT$8:$AT$67,0)),"")</f>
        <v/>
      </c>
      <c r="J32" s="44">
        <f>IFERROR(INDEX('موازنة بدر'!$AP$8:$AP$67,MATCH(1,'موازنة بدر'!$AT$8:$AT$67,0)),"")</f>
        <v/>
      </c>
      <c r="K32" s="45">
        <f>IFERROR(INDEX('موازنة بدر'!$AQ$8:$AQ$67,MATCH(1,'موازنة بدر'!$AT$8:$AT$67,0)),"")</f>
        <v/>
      </c>
    </row>
    <row r="33">
      <c r="A33" s="43">
        <f>IFERROR(INDEX('موازنة دمياط'!$A$8:$A$67,MATCH(2,'موازنة دمياط'!$AT$8:$AT$67,0)),"")</f>
        <v/>
      </c>
      <c r="B33" s="23">
        <f>IFERROR(INDEX('موازنة دمياط'!$B$8:$B$67,MATCH(2,'موازنة دمياط'!$AT$8:$AT$67,0)),"")</f>
        <v/>
      </c>
      <c r="C33" s="23">
        <f>IFERROR(INDEX('موازنة دمياط'!$AO$8:$AO$67,MATCH(2,'موازنة دمياط'!$AT$8:$AT$67,0)),"")</f>
        <v/>
      </c>
      <c r="D33" s="44">
        <f>IFERROR(INDEX('موازنة دمياط'!$AP$8:$AP$67,MATCH(2,'موازنة دمياط'!$AT$8:$AT$67,0)),"")</f>
        <v/>
      </c>
      <c r="E33" s="45">
        <f>IFERROR(INDEX('موازنة دمياط'!$AQ$8:$AQ$67,MATCH(2,'موازنة دمياط'!$AT$8:$AT$67,0)),"")</f>
        <v/>
      </c>
      <c r="G33" s="43">
        <f>IFERROR(INDEX('موازنة بدر'!$A$8:$A$67,MATCH(2,'موازنة بدر'!$AT$8:$AT$67,0)),"")</f>
        <v/>
      </c>
      <c r="H33" s="23">
        <f>IFERROR(INDEX('موازنة بدر'!$B$8:$B$67,MATCH(2,'موازنة بدر'!$AT$8:$AT$67,0)),"")</f>
        <v/>
      </c>
      <c r="I33" s="23">
        <f>IFERROR(INDEX('موازنة بدر'!$AO$8:$AO$67,MATCH(2,'موازنة بدر'!$AT$8:$AT$67,0)),"")</f>
        <v/>
      </c>
      <c r="J33" s="44">
        <f>IFERROR(INDEX('موازنة بدر'!$AP$8:$AP$67,MATCH(2,'موازنة بدر'!$AT$8:$AT$67,0)),"")</f>
        <v/>
      </c>
      <c r="K33" s="45">
        <f>IFERROR(INDEX('موازنة بدر'!$AQ$8:$AQ$67,MATCH(2,'موازنة بدر'!$AT$8:$AT$67,0)),"")</f>
        <v/>
      </c>
    </row>
    <row r="34">
      <c r="A34" s="43">
        <f>IFERROR(INDEX('موازنة دمياط'!$A$8:$A$67,MATCH(3,'موازنة دمياط'!$AT$8:$AT$67,0)),"")</f>
        <v/>
      </c>
      <c r="B34" s="23">
        <f>IFERROR(INDEX('موازنة دمياط'!$B$8:$B$67,MATCH(3,'موازنة دمياط'!$AT$8:$AT$67,0)),"")</f>
        <v/>
      </c>
      <c r="C34" s="23">
        <f>IFERROR(INDEX('موازنة دمياط'!$AO$8:$AO$67,MATCH(3,'موازنة دمياط'!$AT$8:$AT$67,0)),"")</f>
        <v/>
      </c>
      <c r="D34" s="44">
        <f>IFERROR(INDEX('موازنة دمياط'!$AP$8:$AP$67,MATCH(3,'موازنة دمياط'!$AT$8:$AT$67,0)),"")</f>
        <v/>
      </c>
      <c r="E34" s="45">
        <f>IFERROR(INDEX('موازنة دمياط'!$AQ$8:$AQ$67,MATCH(3,'موازنة دمياط'!$AT$8:$AT$67,0)),"")</f>
        <v/>
      </c>
      <c r="G34" s="43">
        <f>IFERROR(INDEX('موازنة بدر'!$A$8:$A$67,MATCH(3,'موازنة بدر'!$AT$8:$AT$67,0)),"")</f>
        <v/>
      </c>
      <c r="H34" s="23">
        <f>IFERROR(INDEX('موازنة بدر'!$B$8:$B$67,MATCH(3,'موازنة بدر'!$AT$8:$AT$67,0)),"")</f>
        <v/>
      </c>
      <c r="I34" s="23">
        <f>IFERROR(INDEX('موازنة بدر'!$AO$8:$AO$67,MATCH(3,'موازنة بدر'!$AT$8:$AT$67,0)),"")</f>
        <v/>
      </c>
      <c r="J34" s="44">
        <f>IFERROR(INDEX('موازنة بدر'!$AP$8:$AP$67,MATCH(3,'موازنة بدر'!$AT$8:$AT$67,0)),"")</f>
        <v/>
      </c>
      <c r="K34" s="45">
        <f>IFERROR(INDEX('موازنة بدر'!$AQ$8:$AQ$67,MATCH(3,'موازنة بدر'!$AT$8:$AT$67,0)),"")</f>
        <v/>
      </c>
    </row>
    <row r="35">
      <c r="A35" s="43">
        <f>IFERROR(INDEX('موازنة دمياط'!$A$8:$A$67,MATCH(4,'موازنة دمياط'!$AT$8:$AT$67,0)),"")</f>
        <v/>
      </c>
      <c r="B35" s="23">
        <f>IFERROR(INDEX('موازنة دمياط'!$B$8:$B$67,MATCH(4,'موازنة دمياط'!$AT$8:$AT$67,0)),"")</f>
        <v/>
      </c>
      <c r="C35" s="23">
        <f>IFERROR(INDEX('موازنة دمياط'!$AO$8:$AO$67,MATCH(4,'موازنة دمياط'!$AT$8:$AT$67,0)),"")</f>
        <v/>
      </c>
      <c r="D35" s="44">
        <f>IFERROR(INDEX('موازنة دمياط'!$AP$8:$AP$67,MATCH(4,'موازنة دمياط'!$AT$8:$AT$67,0)),"")</f>
        <v/>
      </c>
      <c r="E35" s="45">
        <f>IFERROR(INDEX('موازنة دمياط'!$AQ$8:$AQ$67,MATCH(4,'موازنة دمياط'!$AT$8:$AT$67,0)),"")</f>
        <v/>
      </c>
      <c r="G35" s="43">
        <f>IFERROR(INDEX('موازنة بدر'!$A$8:$A$67,MATCH(4,'موازنة بدر'!$AT$8:$AT$67,0)),"")</f>
        <v/>
      </c>
      <c r="H35" s="23">
        <f>IFERROR(INDEX('موازنة بدر'!$B$8:$B$67,MATCH(4,'موازنة بدر'!$AT$8:$AT$67,0)),"")</f>
        <v/>
      </c>
      <c r="I35" s="23">
        <f>IFERROR(INDEX('موازنة بدر'!$AO$8:$AO$67,MATCH(4,'موازنة بدر'!$AT$8:$AT$67,0)),"")</f>
        <v/>
      </c>
      <c r="J35" s="44">
        <f>IFERROR(INDEX('موازنة بدر'!$AP$8:$AP$67,MATCH(4,'موازنة بدر'!$AT$8:$AT$67,0)),"")</f>
        <v/>
      </c>
      <c r="K35" s="45">
        <f>IFERROR(INDEX('موازنة بدر'!$AQ$8:$AQ$67,MATCH(4,'موازنة بدر'!$AT$8:$AT$67,0)),"")</f>
        <v/>
      </c>
    </row>
    <row r="36">
      <c r="A36" s="43">
        <f>IFERROR(INDEX('موازنة دمياط'!$A$8:$A$67,MATCH(5,'موازنة دمياط'!$AT$8:$AT$67,0)),"")</f>
        <v/>
      </c>
      <c r="B36" s="23">
        <f>IFERROR(INDEX('موازنة دمياط'!$B$8:$B$67,MATCH(5,'موازنة دمياط'!$AT$8:$AT$67,0)),"")</f>
        <v/>
      </c>
      <c r="C36" s="23">
        <f>IFERROR(INDEX('موازنة دمياط'!$AO$8:$AO$67,MATCH(5,'موازنة دمياط'!$AT$8:$AT$67,0)),"")</f>
        <v/>
      </c>
      <c r="D36" s="44">
        <f>IFERROR(INDEX('موازنة دمياط'!$AP$8:$AP$67,MATCH(5,'موازنة دمياط'!$AT$8:$AT$67,0)),"")</f>
        <v/>
      </c>
      <c r="E36" s="45">
        <f>IFERROR(INDEX('موازنة دمياط'!$AQ$8:$AQ$67,MATCH(5,'موازنة دمياط'!$AT$8:$AT$67,0)),"")</f>
        <v/>
      </c>
      <c r="G36" s="43">
        <f>IFERROR(INDEX('موازنة بدر'!$A$8:$A$67,MATCH(5,'موازنة بدر'!$AT$8:$AT$67,0)),"")</f>
        <v/>
      </c>
      <c r="H36" s="23">
        <f>IFERROR(INDEX('موازنة بدر'!$B$8:$B$67,MATCH(5,'موازنة بدر'!$AT$8:$AT$67,0)),"")</f>
        <v/>
      </c>
      <c r="I36" s="23">
        <f>IFERROR(INDEX('موازنة بدر'!$AO$8:$AO$67,MATCH(5,'موازنة بدر'!$AT$8:$AT$67,0)),"")</f>
        <v/>
      </c>
      <c r="J36" s="44">
        <f>IFERROR(INDEX('موازنة بدر'!$AP$8:$AP$67,MATCH(5,'موازنة بدر'!$AT$8:$AT$67,0)),"")</f>
        <v/>
      </c>
      <c r="K36" s="45">
        <f>IFERROR(INDEX('موازنة بدر'!$AQ$8:$AQ$67,MATCH(5,'موازنة بدر'!$AT$8:$AT$67,0)),"")</f>
        <v/>
      </c>
    </row>
    <row r="37">
      <c r="A37" s="43">
        <f>IFERROR(INDEX('موازنة دمياط'!$A$8:$A$67,MATCH(6,'موازنة دمياط'!$AT$8:$AT$67,0)),"")</f>
        <v/>
      </c>
      <c r="B37" s="23">
        <f>IFERROR(INDEX('موازنة دمياط'!$B$8:$B$67,MATCH(6,'موازنة دمياط'!$AT$8:$AT$67,0)),"")</f>
        <v/>
      </c>
      <c r="C37" s="23">
        <f>IFERROR(INDEX('موازنة دمياط'!$AO$8:$AO$67,MATCH(6,'موازنة دمياط'!$AT$8:$AT$67,0)),"")</f>
        <v/>
      </c>
      <c r="D37" s="44">
        <f>IFERROR(INDEX('موازنة دمياط'!$AP$8:$AP$67,MATCH(6,'موازنة دمياط'!$AT$8:$AT$67,0)),"")</f>
        <v/>
      </c>
      <c r="E37" s="45">
        <f>IFERROR(INDEX('موازنة دمياط'!$AQ$8:$AQ$67,MATCH(6,'موازنة دمياط'!$AT$8:$AT$67,0)),"")</f>
        <v/>
      </c>
      <c r="G37" s="43">
        <f>IFERROR(INDEX('موازنة بدر'!$A$8:$A$67,MATCH(6,'موازنة بدر'!$AT$8:$AT$67,0)),"")</f>
        <v/>
      </c>
      <c r="H37" s="23">
        <f>IFERROR(INDEX('موازنة بدر'!$B$8:$B$67,MATCH(6,'موازنة بدر'!$AT$8:$AT$67,0)),"")</f>
        <v/>
      </c>
      <c r="I37" s="23">
        <f>IFERROR(INDEX('موازنة بدر'!$AO$8:$AO$67,MATCH(6,'موازنة بدر'!$AT$8:$AT$67,0)),"")</f>
        <v/>
      </c>
      <c r="J37" s="44">
        <f>IFERROR(INDEX('موازنة بدر'!$AP$8:$AP$67,MATCH(6,'موازنة بدر'!$AT$8:$AT$67,0)),"")</f>
        <v/>
      </c>
      <c r="K37" s="45">
        <f>IFERROR(INDEX('موازنة بدر'!$AQ$8:$AQ$67,MATCH(6,'موازنة بدر'!$AT$8:$AT$67,0)),"")</f>
        <v/>
      </c>
    </row>
    <row r="38">
      <c r="A38" s="43">
        <f>IFERROR(INDEX('موازنة دمياط'!$A$8:$A$67,MATCH(7,'موازنة دمياط'!$AT$8:$AT$67,0)),"")</f>
        <v/>
      </c>
      <c r="B38" s="23">
        <f>IFERROR(INDEX('موازنة دمياط'!$B$8:$B$67,MATCH(7,'موازنة دمياط'!$AT$8:$AT$67,0)),"")</f>
        <v/>
      </c>
      <c r="C38" s="23">
        <f>IFERROR(INDEX('موازنة دمياط'!$AO$8:$AO$67,MATCH(7,'موازنة دمياط'!$AT$8:$AT$67,0)),"")</f>
        <v/>
      </c>
      <c r="D38" s="44">
        <f>IFERROR(INDEX('موازنة دمياط'!$AP$8:$AP$67,MATCH(7,'موازنة دمياط'!$AT$8:$AT$67,0)),"")</f>
        <v/>
      </c>
      <c r="E38" s="45">
        <f>IFERROR(INDEX('موازنة دمياط'!$AQ$8:$AQ$67,MATCH(7,'موازنة دمياط'!$AT$8:$AT$67,0)),"")</f>
        <v/>
      </c>
      <c r="G38" s="43">
        <f>IFERROR(INDEX('موازنة بدر'!$A$8:$A$67,MATCH(7,'موازنة بدر'!$AT$8:$AT$67,0)),"")</f>
        <v/>
      </c>
      <c r="H38" s="23">
        <f>IFERROR(INDEX('موازنة بدر'!$B$8:$B$67,MATCH(7,'موازنة بدر'!$AT$8:$AT$67,0)),"")</f>
        <v/>
      </c>
      <c r="I38" s="23">
        <f>IFERROR(INDEX('موازنة بدر'!$AO$8:$AO$67,MATCH(7,'موازنة بدر'!$AT$8:$AT$67,0)),"")</f>
        <v/>
      </c>
      <c r="J38" s="44">
        <f>IFERROR(INDEX('موازنة بدر'!$AP$8:$AP$67,MATCH(7,'موازنة بدر'!$AT$8:$AT$67,0)),"")</f>
        <v/>
      </c>
      <c r="K38" s="45">
        <f>IFERROR(INDEX('موازنة بدر'!$AQ$8:$AQ$67,MATCH(7,'موازنة بدر'!$AT$8:$AT$67,0)),"")</f>
        <v/>
      </c>
    </row>
    <row r="39">
      <c r="A39" s="43">
        <f>IFERROR(INDEX('موازنة دمياط'!$A$8:$A$67,MATCH(8,'موازنة دمياط'!$AT$8:$AT$67,0)),"")</f>
        <v/>
      </c>
      <c r="B39" s="23">
        <f>IFERROR(INDEX('موازنة دمياط'!$B$8:$B$67,MATCH(8,'موازنة دمياط'!$AT$8:$AT$67,0)),"")</f>
        <v/>
      </c>
      <c r="C39" s="23">
        <f>IFERROR(INDEX('موازنة دمياط'!$AO$8:$AO$67,MATCH(8,'موازنة دمياط'!$AT$8:$AT$67,0)),"")</f>
        <v/>
      </c>
      <c r="D39" s="44">
        <f>IFERROR(INDEX('موازنة دمياط'!$AP$8:$AP$67,MATCH(8,'موازنة دمياط'!$AT$8:$AT$67,0)),"")</f>
        <v/>
      </c>
      <c r="E39" s="45">
        <f>IFERROR(INDEX('موازنة دمياط'!$AQ$8:$AQ$67,MATCH(8,'موازنة دمياط'!$AT$8:$AT$67,0)),"")</f>
        <v/>
      </c>
      <c r="G39" s="43">
        <f>IFERROR(INDEX('موازنة بدر'!$A$8:$A$67,MATCH(8,'موازنة بدر'!$AT$8:$AT$67,0)),"")</f>
        <v/>
      </c>
      <c r="H39" s="23">
        <f>IFERROR(INDEX('موازنة بدر'!$B$8:$B$67,MATCH(8,'موازنة بدر'!$AT$8:$AT$67,0)),"")</f>
        <v/>
      </c>
      <c r="I39" s="23">
        <f>IFERROR(INDEX('موازنة بدر'!$AO$8:$AO$67,MATCH(8,'موازنة بدر'!$AT$8:$AT$67,0)),"")</f>
        <v/>
      </c>
      <c r="J39" s="44">
        <f>IFERROR(INDEX('موازنة بدر'!$AP$8:$AP$67,MATCH(8,'موازنة بدر'!$AT$8:$AT$67,0)),"")</f>
        <v/>
      </c>
      <c r="K39" s="45">
        <f>IFERROR(INDEX('موازنة بدر'!$AQ$8:$AQ$67,MATCH(8,'موازنة بدر'!$AT$8:$AT$67,0)),"")</f>
        <v/>
      </c>
    </row>
    <row r="40">
      <c r="A40" s="43">
        <f>IFERROR(INDEX('موازنة دمياط'!$A$8:$A$67,MATCH(9,'موازنة دمياط'!$AT$8:$AT$67,0)),"")</f>
        <v/>
      </c>
      <c r="B40" s="23">
        <f>IFERROR(INDEX('موازنة دمياط'!$B$8:$B$67,MATCH(9,'موازنة دمياط'!$AT$8:$AT$67,0)),"")</f>
        <v/>
      </c>
      <c r="C40" s="23">
        <f>IFERROR(INDEX('موازنة دمياط'!$AO$8:$AO$67,MATCH(9,'موازنة دمياط'!$AT$8:$AT$67,0)),"")</f>
        <v/>
      </c>
      <c r="D40" s="44">
        <f>IFERROR(INDEX('موازنة دمياط'!$AP$8:$AP$67,MATCH(9,'موازنة دمياط'!$AT$8:$AT$67,0)),"")</f>
        <v/>
      </c>
      <c r="E40" s="45">
        <f>IFERROR(INDEX('موازنة دمياط'!$AQ$8:$AQ$67,MATCH(9,'موازنة دمياط'!$AT$8:$AT$67,0)),"")</f>
        <v/>
      </c>
      <c r="G40" s="43">
        <f>IFERROR(INDEX('موازنة بدر'!$A$8:$A$67,MATCH(9,'موازنة بدر'!$AT$8:$AT$67,0)),"")</f>
        <v/>
      </c>
      <c r="H40" s="23">
        <f>IFERROR(INDEX('موازنة بدر'!$B$8:$B$67,MATCH(9,'موازنة بدر'!$AT$8:$AT$67,0)),"")</f>
        <v/>
      </c>
      <c r="I40" s="23">
        <f>IFERROR(INDEX('موازنة بدر'!$AO$8:$AO$67,MATCH(9,'موازنة بدر'!$AT$8:$AT$67,0)),"")</f>
        <v/>
      </c>
      <c r="J40" s="44">
        <f>IFERROR(INDEX('موازنة بدر'!$AP$8:$AP$67,MATCH(9,'موازنة بدر'!$AT$8:$AT$67,0)),"")</f>
        <v/>
      </c>
      <c r="K40" s="45">
        <f>IFERROR(INDEX('موازنة بدر'!$AQ$8:$AQ$67,MATCH(9,'موازنة بدر'!$AT$8:$AT$67,0)),"")</f>
        <v/>
      </c>
    </row>
    <row r="41">
      <c r="A41" s="43">
        <f>IFERROR(INDEX('موازنة دمياط'!$A$8:$A$67,MATCH(10,'موازنة دمياط'!$AT$8:$AT$67,0)),"")</f>
        <v/>
      </c>
      <c r="B41" s="23">
        <f>IFERROR(INDEX('موازنة دمياط'!$B$8:$B$67,MATCH(10,'موازنة دمياط'!$AT$8:$AT$67,0)),"")</f>
        <v/>
      </c>
      <c r="C41" s="23">
        <f>IFERROR(INDEX('موازنة دمياط'!$AO$8:$AO$67,MATCH(10,'موازنة دمياط'!$AT$8:$AT$67,0)),"")</f>
        <v/>
      </c>
      <c r="D41" s="44">
        <f>IFERROR(INDEX('موازنة دمياط'!$AP$8:$AP$67,MATCH(10,'موازنة دمياط'!$AT$8:$AT$67,0)),"")</f>
        <v/>
      </c>
      <c r="E41" s="45">
        <f>IFERROR(INDEX('موازنة دمياط'!$AQ$8:$AQ$67,MATCH(10,'موازنة دمياط'!$AT$8:$AT$67,0)),"")</f>
        <v/>
      </c>
      <c r="G41" s="43">
        <f>IFERROR(INDEX('موازنة بدر'!$A$8:$A$67,MATCH(10,'موازنة بدر'!$AT$8:$AT$67,0)),"")</f>
        <v/>
      </c>
      <c r="H41" s="23">
        <f>IFERROR(INDEX('موازنة بدر'!$B$8:$B$67,MATCH(10,'موازنة بدر'!$AT$8:$AT$67,0)),"")</f>
        <v/>
      </c>
      <c r="I41" s="23">
        <f>IFERROR(INDEX('موازنة بدر'!$AO$8:$AO$67,MATCH(10,'موازنة بدر'!$AT$8:$AT$67,0)),"")</f>
        <v/>
      </c>
      <c r="J41" s="44">
        <f>IFERROR(INDEX('موازنة بدر'!$AP$8:$AP$67,MATCH(10,'موازنة بدر'!$AT$8:$AT$67,0)),"")</f>
        <v/>
      </c>
      <c r="K41" s="45">
        <f>IFERROR(INDEX('موازنة بدر'!$AQ$8:$AQ$67,MATCH(10,'موازنة بدر'!$AT$8:$AT$67,0)),"")</f>
        <v/>
      </c>
    </row>
    <row r="42">
      <c r="A42" s="43">
        <f>IFERROR(INDEX('موازنة دمياط'!$A$8:$A$67,MATCH(11,'موازنة دمياط'!$AT$8:$AT$67,0)),"")</f>
        <v/>
      </c>
      <c r="B42" s="23">
        <f>IFERROR(INDEX('موازنة دمياط'!$B$8:$B$67,MATCH(11,'موازنة دمياط'!$AT$8:$AT$67,0)),"")</f>
        <v/>
      </c>
      <c r="C42" s="23">
        <f>IFERROR(INDEX('موازنة دمياط'!$AO$8:$AO$67,MATCH(11,'موازنة دمياط'!$AT$8:$AT$67,0)),"")</f>
        <v/>
      </c>
      <c r="D42" s="44">
        <f>IFERROR(INDEX('موازنة دمياط'!$AP$8:$AP$67,MATCH(11,'موازنة دمياط'!$AT$8:$AT$67,0)),"")</f>
        <v/>
      </c>
      <c r="E42" s="45">
        <f>IFERROR(INDEX('موازنة دمياط'!$AQ$8:$AQ$67,MATCH(11,'موازنة دمياط'!$AT$8:$AT$67,0)),"")</f>
        <v/>
      </c>
      <c r="G42" s="43">
        <f>IFERROR(INDEX('موازنة بدر'!$A$8:$A$67,MATCH(11,'موازنة بدر'!$AT$8:$AT$67,0)),"")</f>
        <v/>
      </c>
      <c r="H42" s="23">
        <f>IFERROR(INDEX('موازنة بدر'!$B$8:$B$67,MATCH(11,'موازنة بدر'!$AT$8:$AT$67,0)),"")</f>
        <v/>
      </c>
      <c r="I42" s="23">
        <f>IFERROR(INDEX('موازنة بدر'!$AO$8:$AO$67,MATCH(11,'موازنة بدر'!$AT$8:$AT$67,0)),"")</f>
        <v/>
      </c>
      <c r="J42" s="44">
        <f>IFERROR(INDEX('موازنة بدر'!$AP$8:$AP$67,MATCH(11,'موازنة بدر'!$AT$8:$AT$67,0)),"")</f>
        <v/>
      </c>
      <c r="K42" s="45">
        <f>IFERROR(INDEX('موازنة بدر'!$AQ$8:$AQ$67,MATCH(11,'موازنة بدر'!$AT$8:$AT$67,0)),"")</f>
        <v/>
      </c>
    </row>
    <row r="43">
      <c r="A43" s="43">
        <f>IFERROR(INDEX('موازنة دمياط'!$A$8:$A$67,MATCH(12,'موازنة دمياط'!$AT$8:$AT$67,0)),"")</f>
        <v/>
      </c>
      <c r="B43" s="23">
        <f>IFERROR(INDEX('موازنة دمياط'!$B$8:$B$67,MATCH(12,'موازنة دمياط'!$AT$8:$AT$67,0)),"")</f>
        <v/>
      </c>
      <c r="C43" s="23">
        <f>IFERROR(INDEX('موازنة دمياط'!$AO$8:$AO$67,MATCH(12,'موازنة دمياط'!$AT$8:$AT$67,0)),"")</f>
        <v/>
      </c>
      <c r="D43" s="44">
        <f>IFERROR(INDEX('موازنة دمياط'!$AP$8:$AP$67,MATCH(12,'موازنة دمياط'!$AT$8:$AT$67,0)),"")</f>
        <v/>
      </c>
      <c r="E43" s="45">
        <f>IFERROR(INDEX('موازنة دمياط'!$AQ$8:$AQ$67,MATCH(12,'موازنة دمياط'!$AT$8:$AT$67,0)),"")</f>
        <v/>
      </c>
      <c r="G43" s="43">
        <f>IFERROR(INDEX('موازنة بدر'!$A$8:$A$67,MATCH(12,'موازنة بدر'!$AT$8:$AT$67,0)),"")</f>
        <v/>
      </c>
      <c r="H43" s="23">
        <f>IFERROR(INDEX('موازنة بدر'!$B$8:$B$67,MATCH(12,'موازنة بدر'!$AT$8:$AT$67,0)),"")</f>
        <v/>
      </c>
      <c r="I43" s="23">
        <f>IFERROR(INDEX('موازنة بدر'!$AO$8:$AO$67,MATCH(12,'موازنة بدر'!$AT$8:$AT$67,0)),"")</f>
        <v/>
      </c>
      <c r="J43" s="44">
        <f>IFERROR(INDEX('موازنة بدر'!$AP$8:$AP$67,MATCH(12,'موازنة بدر'!$AT$8:$AT$67,0)),"")</f>
        <v/>
      </c>
      <c r="K43" s="45">
        <f>IFERROR(INDEX('موازنة بدر'!$AQ$8:$AQ$67,MATCH(12,'موازنة بدر'!$AT$8:$AT$67,0)),"")</f>
        <v/>
      </c>
    </row>
    <row r="44">
      <c r="A44" s="43">
        <f>IFERROR(INDEX('موازنة دمياط'!$A$8:$A$67,MATCH(13,'موازنة دمياط'!$AT$8:$AT$67,0)),"")</f>
        <v/>
      </c>
      <c r="B44" s="23">
        <f>IFERROR(INDEX('موازنة دمياط'!$B$8:$B$67,MATCH(13,'موازنة دمياط'!$AT$8:$AT$67,0)),"")</f>
        <v/>
      </c>
      <c r="C44" s="23">
        <f>IFERROR(INDEX('موازنة دمياط'!$AO$8:$AO$67,MATCH(13,'موازنة دمياط'!$AT$8:$AT$67,0)),"")</f>
        <v/>
      </c>
      <c r="D44" s="44">
        <f>IFERROR(INDEX('موازنة دمياط'!$AP$8:$AP$67,MATCH(13,'موازنة دمياط'!$AT$8:$AT$67,0)),"")</f>
        <v/>
      </c>
      <c r="E44" s="45">
        <f>IFERROR(INDEX('موازنة دمياط'!$AQ$8:$AQ$67,MATCH(13,'موازنة دمياط'!$AT$8:$AT$67,0)),"")</f>
        <v/>
      </c>
      <c r="G44" s="43">
        <f>IFERROR(INDEX('موازنة بدر'!$A$8:$A$67,MATCH(13,'موازنة بدر'!$AT$8:$AT$67,0)),"")</f>
        <v/>
      </c>
      <c r="H44" s="23">
        <f>IFERROR(INDEX('موازنة بدر'!$B$8:$B$67,MATCH(13,'موازنة بدر'!$AT$8:$AT$67,0)),"")</f>
        <v/>
      </c>
      <c r="I44" s="23">
        <f>IFERROR(INDEX('موازنة بدر'!$AO$8:$AO$67,MATCH(13,'موازنة بدر'!$AT$8:$AT$67,0)),"")</f>
        <v/>
      </c>
      <c r="J44" s="44">
        <f>IFERROR(INDEX('موازنة بدر'!$AP$8:$AP$67,MATCH(13,'موازنة بدر'!$AT$8:$AT$67,0)),"")</f>
        <v/>
      </c>
      <c r="K44" s="45">
        <f>IFERROR(INDEX('موازنة بدر'!$AQ$8:$AQ$67,MATCH(13,'موازنة بدر'!$AT$8:$AT$67,0)),"")</f>
        <v/>
      </c>
    </row>
    <row r="45">
      <c r="A45" s="43">
        <f>IFERROR(INDEX('موازنة دمياط'!$A$8:$A$67,MATCH(14,'موازنة دمياط'!$AT$8:$AT$67,0)),"")</f>
        <v/>
      </c>
      <c r="B45" s="23">
        <f>IFERROR(INDEX('موازنة دمياط'!$B$8:$B$67,MATCH(14,'موازنة دمياط'!$AT$8:$AT$67,0)),"")</f>
        <v/>
      </c>
      <c r="C45" s="23">
        <f>IFERROR(INDEX('موازنة دمياط'!$AO$8:$AO$67,MATCH(14,'موازنة دمياط'!$AT$8:$AT$67,0)),"")</f>
        <v/>
      </c>
      <c r="D45" s="44">
        <f>IFERROR(INDEX('موازنة دمياط'!$AP$8:$AP$67,MATCH(14,'موازنة دمياط'!$AT$8:$AT$67,0)),"")</f>
        <v/>
      </c>
      <c r="E45" s="45">
        <f>IFERROR(INDEX('موازنة دمياط'!$AQ$8:$AQ$67,MATCH(14,'موازنة دمياط'!$AT$8:$AT$67,0)),"")</f>
        <v/>
      </c>
      <c r="G45" s="43">
        <f>IFERROR(INDEX('موازنة بدر'!$A$8:$A$67,MATCH(14,'موازنة بدر'!$AT$8:$AT$67,0)),"")</f>
        <v/>
      </c>
      <c r="H45" s="23">
        <f>IFERROR(INDEX('موازنة بدر'!$B$8:$B$67,MATCH(14,'موازنة بدر'!$AT$8:$AT$67,0)),"")</f>
        <v/>
      </c>
      <c r="I45" s="23">
        <f>IFERROR(INDEX('موازنة بدر'!$AO$8:$AO$67,MATCH(14,'موازنة بدر'!$AT$8:$AT$67,0)),"")</f>
        <v/>
      </c>
      <c r="J45" s="44">
        <f>IFERROR(INDEX('موازنة بدر'!$AP$8:$AP$67,MATCH(14,'موازنة بدر'!$AT$8:$AT$67,0)),"")</f>
        <v/>
      </c>
      <c r="K45" s="45">
        <f>IFERROR(INDEX('موازنة بدر'!$AQ$8:$AQ$67,MATCH(14,'موازنة بدر'!$AT$8:$AT$67,0)),"")</f>
        <v/>
      </c>
    </row>
    <row r="46">
      <c r="A46" s="43">
        <f>IFERROR(INDEX('موازنة دمياط'!$A$8:$A$67,MATCH(15,'موازنة دمياط'!$AT$8:$AT$67,0)),"")</f>
        <v/>
      </c>
      <c r="B46" s="23">
        <f>IFERROR(INDEX('موازنة دمياط'!$B$8:$B$67,MATCH(15,'موازنة دمياط'!$AT$8:$AT$67,0)),"")</f>
        <v/>
      </c>
      <c r="C46" s="23">
        <f>IFERROR(INDEX('موازنة دمياط'!$AO$8:$AO$67,MATCH(15,'موازنة دمياط'!$AT$8:$AT$67,0)),"")</f>
        <v/>
      </c>
      <c r="D46" s="44">
        <f>IFERROR(INDEX('موازنة دمياط'!$AP$8:$AP$67,MATCH(15,'موازنة دمياط'!$AT$8:$AT$67,0)),"")</f>
        <v/>
      </c>
      <c r="E46" s="45">
        <f>IFERROR(INDEX('موازنة دمياط'!$AQ$8:$AQ$67,MATCH(15,'موازنة دمياط'!$AT$8:$AT$67,0)),"")</f>
        <v/>
      </c>
      <c r="G46" s="43">
        <f>IFERROR(INDEX('موازنة بدر'!$A$8:$A$67,MATCH(15,'موازنة بدر'!$AT$8:$AT$67,0)),"")</f>
        <v/>
      </c>
      <c r="H46" s="23">
        <f>IFERROR(INDEX('موازنة بدر'!$B$8:$B$67,MATCH(15,'موازنة بدر'!$AT$8:$AT$67,0)),"")</f>
        <v/>
      </c>
      <c r="I46" s="23">
        <f>IFERROR(INDEX('موازنة بدر'!$AO$8:$AO$67,MATCH(15,'موازنة بدر'!$AT$8:$AT$67,0)),"")</f>
        <v/>
      </c>
      <c r="J46" s="44">
        <f>IFERROR(INDEX('موازنة بدر'!$AP$8:$AP$67,MATCH(15,'موازنة بدر'!$AT$8:$AT$67,0)),"")</f>
        <v/>
      </c>
      <c r="K46" s="45">
        <f>IFERROR(INDEX('موازنة بدر'!$AQ$8:$AQ$67,MATCH(15,'موازنة بدر'!$AT$8:$AT$67,0)),"")</f>
        <v/>
      </c>
    </row>
    <row r="47">
      <c r="A47" s="46">
        <f>"عدد البنود: دمياط "&amp;F6&amp;" · بدر "&amp;F7</f>
        <v/>
      </c>
    </row>
    <row r="49">
      <c r="A49" s="47" t="inlineStr">
        <is>
          <t>البنود الأعلى صرفًا (أعلى 5 بنود لكل مدرسة)</t>
        </is>
      </c>
    </row>
    <row r="50">
      <c r="A50" s="31" t="inlineStr">
        <is>
          <t>دمياط</t>
        </is>
      </c>
      <c r="G50" s="31" t="inlineStr">
        <is>
          <t>بدر</t>
        </is>
      </c>
    </row>
    <row r="51">
      <c r="A51" s="18" t="inlineStr">
        <is>
          <t>البند</t>
        </is>
      </c>
      <c r="B51" s="18" t="inlineStr">
        <is>
          <t>المنصرف</t>
        </is>
      </c>
      <c r="C51" s="18" t="inlineStr">
        <is>
          <t>من إجمالي المنصرف</t>
        </is>
      </c>
      <c r="D51" s="18" t="inlineStr">
        <is>
          <t>المخصص السنوي</t>
        </is>
      </c>
      <c r="E51" s="18" t="inlineStr">
        <is>
          <t>المتبقي / العجز</t>
        </is>
      </c>
      <c r="G51" s="18" t="inlineStr">
        <is>
          <t>البند</t>
        </is>
      </c>
      <c r="H51" s="18" t="inlineStr">
        <is>
          <t>المنصرف</t>
        </is>
      </c>
      <c r="I51" s="18" t="inlineStr">
        <is>
          <t>من إجمالي المنصرف</t>
        </is>
      </c>
      <c r="J51" s="18" t="inlineStr">
        <is>
          <t>المخصص السنوي</t>
        </is>
      </c>
      <c r="K51" s="18" t="inlineStr">
        <is>
          <t>المتبقي / العجز</t>
        </is>
      </c>
    </row>
    <row r="52">
      <c r="A52" s="43">
        <f>IFERROR(IF(LARGE('موازنة دمياط'!$AU$8:$AU$67,1)&gt;=0.5,INDEX('موازنة دمياط'!$A$8:$A$67,MATCH(LARGE('موازنة دمياط'!$AU$8:$AU$67,1),'موازنة دمياط'!$AU$8:$AU$67,0)),""),"")</f>
        <v/>
      </c>
      <c r="B52" s="23">
        <f>IFERROR(IF(LARGE('موازنة دمياط'!$AU$8:$AU$67,1)&gt;=0.5,INDEX('موازنة دمياط'!$AO$8:$AO$67,MATCH(LARGE('موازنة دمياط'!$AU$8:$AU$67,1),'موازنة دمياط'!$AU$8:$AU$67,0)),""),"")</f>
        <v/>
      </c>
      <c r="C52" s="48">
        <f>IFERROR(IF(OR(B52="",N(C6)=0),"",B52/C6),"")</f>
        <v/>
      </c>
      <c r="D52" s="23">
        <f>IFERROR(IF(LARGE('موازنة دمياط'!$AU$8:$AU$67,1)&gt;=0.5,INDEX('موازنة دمياط'!$B$8:$B$67,MATCH(LARGE('موازنة دمياط'!$AU$8:$AU$67,1),'موازنة دمياط'!$AU$8:$AU$67,0)),""),"")</f>
        <v/>
      </c>
      <c r="E52" s="44">
        <f>IFERROR(IF(LARGE('موازنة دمياط'!$AU$8:$AU$67,1)&gt;=0.5,INDEX('موازنة دمياط'!$AP$8:$AP$67,MATCH(LARGE('موازنة دمياط'!$AU$8:$AU$67,1),'موازنة دمياط'!$AU$8:$AU$67,0)),""),"")</f>
        <v/>
      </c>
      <c r="G52" s="43">
        <f>IFERROR(IF(LARGE('موازنة بدر'!$AU$8:$AU$67,1)&gt;=0.5,INDEX('موازنة بدر'!$A$8:$A$67,MATCH(LARGE('موازنة بدر'!$AU$8:$AU$67,1),'موازنة بدر'!$AU$8:$AU$67,0)),""),"")</f>
        <v/>
      </c>
      <c r="H52" s="23">
        <f>IFERROR(IF(LARGE('موازنة بدر'!$AU$8:$AU$67,1)&gt;=0.5,INDEX('موازنة بدر'!$AO$8:$AO$67,MATCH(LARGE('موازنة بدر'!$AU$8:$AU$67,1),'موازنة بدر'!$AU$8:$AU$67,0)),""),"")</f>
        <v/>
      </c>
      <c r="I52" s="48">
        <f>IFERROR(IF(OR(H52="",N(C7)=0),"",H52/C7),"")</f>
        <v/>
      </c>
      <c r="J52" s="23">
        <f>IFERROR(IF(LARGE('موازنة بدر'!$AU$8:$AU$67,1)&gt;=0.5,INDEX('موازنة بدر'!$B$8:$B$67,MATCH(LARGE('موازنة بدر'!$AU$8:$AU$67,1),'موازنة بدر'!$AU$8:$AU$67,0)),""),"")</f>
        <v/>
      </c>
      <c r="K52" s="44">
        <f>IFERROR(IF(LARGE('موازنة بدر'!$AU$8:$AU$67,1)&gt;=0.5,INDEX('موازنة بدر'!$AP$8:$AP$67,MATCH(LARGE('موازنة بدر'!$AU$8:$AU$67,1),'موازنة بدر'!$AU$8:$AU$67,0)),""),"")</f>
        <v/>
      </c>
    </row>
    <row r="53">
      <c r="A53" s="43">
        <f>IFERROR(IF(LARGE('موازنة دمياط'!$AU$8:$AU$67,2)&gt;=0.5,INDEX('موازنة دمياط'!$A$8:$A$67,MATCH(LARGE('موازنة دمياط'!$AU$8:$AU$67,2),'موازنة دمياط'!$AU$8:$AU$67,0)),""),"")</f>
        <v/>
      </c>
      <c r="B53" s="23">
        <f>IFERROR(IF(LARGE('موازنة دمياط'!$AU$8:$AU$67,2)&gt;=0.5,INDEX('موازنة دمياط'!$AO$8:$AO$67,MATCH(LARGE('موازنة دمياط'!$AU$8:$AU$67,2),'موازنة دمياط'!$AU$8:$AU$67,0)),""),"")</f>
        <v/>
      </c>
      <c r="C53" s="48">
        <f>IFERROR(IF(OR(B53="",N(C6)=0),"",B53/C6),"")</f>
        <v/>
      </c>
      <c r="D53" s="23">
        <f>IFERROR(IF(LARGE('موازنة دمياط'!$AU$8:$AU$67,2)&gt;=0.5,INDEX('موازنة دمياط'!$B$8:$B$67,MATCH(LARGE('موازنة دمياط'!$AU$8:$AU$67,2),'موازنة دمياط'!$AU$8:$AU$67,0)),""),"")</f>
        <v/>
      </c>
      <c r="E53" s="44">
        <f>IFERROR(IF(LARGE('موازنة دمياط'!$AU$8:$AU$67,2)&gt;=0.5,INDEX('موازنة دمياط'!$AP$8:$AP$67,MATCH(LARGE('موازنة دمياط'!$AU$8:$AU$67,2),'موازنة دمياط'!$AU$8:$AU$67,0)),""),"")</f>
        <v/>
      </c>
      <c r="G53" s="43">
        <f>IFERROR(IF(LARGE('موازنة بدر'!$AU$8:$AU$67,2)&gt;=0.5,INDEX('موازنة بدر'!$A$8:$A$67,MATCH(LARGE('موازنة بدر'!$AU$8:$AU$67,2),'موازنة بدر'!$AU$8:$AU$67,0)),""),"")</f>
        <v/>
      </c>
      <c r="H53" s="23">
        <f>IFERROR(IF(LARGE('موازنة بدر'!$AU$8:$AU$67,2)&gt;=0.5,INDEX('موازنة بدر'!$AO$8:$AO$67,MATCH(LARGE('موازنة بدر'!$AU$8:$AU$67,2),'موازنة بدر'!$AU$8:$AU$67,0)),""),"")</f>
        <v/>
      </c>
      <c r="I53" s="48">
        <f>IFERROR(IF(OR(H53="",N(C7)=0),"",H53/C7),"")</f>
        <v/>
      </c>
      <c r="J53" s="23">
        <f>IFERROR(IF(LARGE('موازنة بدر'!$AU$8:$AU$67,2)&gt;=0.5,INDEX('موازنة بدر'!$B$8:$B$67,MATCH(LARGE('موازنة بدر'!$AU$8:$AU$67,2),'موازنة بدر'!$AU$8:$AU$67,0)),""),"")</f>
        <v/>
      </c>
      <c r="K53" s="44">
        <f>IFERROR(IF(LARGE('موازنة بدر'!$AU$8:$AU$67,2)&gt;=0.5,INDEX('موازنة بدر'!$AP$8:$AP$67,MATCH(LARGE('موازنة بدر'!$AU$8:$AU$67,2),'موازنة بدر'!$AU$8:$AU$67,0)),""),"")</f>
        <v/>
      </c>
    </row>
    <row r="54">
      <c r="A54" s="43">
        <f>IFERROR(IF(LARGE('موازنة دمياط'!$AU$8:$AU$67,3)&gt;=0.5,INDEX('موازنة دمياط'!$A$8:$A$67,MATCH(LARGE('موازنة دمياط'!$AU$8:$AU$67,3),'موازنة دمياط'!$AU$8:$AU$67,0)),""),"")</f>
        <v/>
      </c>
      <c r="B54" s="23">
        <f>IFERROR(IF(LARGE('موازنة دمياط'!$AU$8:$AU$67,3)&gt;=0.5,INDEX('موازنة دمياط'!$AO$8:$AO$67,MATCH(LARGE('موازنة دمياط'!$AU$8:$AU$67,3),'موازنة دمياط'!$AU$8:$AU$67,0)),""),"")</f>
        <v/>
      </c>
      <c r="C54" s="48">
        <f>IFERROR(IF(OR(B54="",N(C6)=0),"",B54/C6),"")</f>
        <v/>
      </c>
      <c r="D54" s="23">
        <f>IFERROR(IF(LARGE('موازنة دمياط'!$AU$8:$AU$67,3)&gt;=0.5,INDEX('موازنة دمياط'!$B$8:$B$67,MATCH(LARGE('موازنة دمياط'!$AU$8:$AU$67,3),'موازنة دمياط'!$AU$8:$AU$67,0)),""),"")</f>
        <v/>
      </c>
      <c r="E54" s="44">
        <f>IFERROR(IF(LARGE('موازنة دمياط'!$AU$8:$AU$67,3)&gt;=0.5,INDEX('موازنة دمياط'!$AP$8:$AP$67,MATCH(LARGE('موازنة دمياط'!$AU$8:$AU$67,3),'موازنة دمياط'!$AU$8:$AU$67,0)),""),"")</f>
        <v/>
      </c>
      <c r="G54" s="43">
        <f>IFERROR(IF(LARGE('موازنة بدر'!$AU$8:$AU$67,3)&gt;=0.5,INDEX('موازنة بدر'!$A$8:$A$67,MATCH(LARGE('موازنة بدر'!$AU$8:$AU$67,3),'موازنة بدر'!$AU$8:$AU$67,0)),""),"")</f>
        <v/>
      </c>
      <c r="H54" s="23">
        <f>IFERROR(IF(LARGE('موازنة بدر'!$AU$8:$AU$67,3)&gt;=0.5,INDEX('موازنة بدر'!$AO$8:$AO$67,MATCH(LARGE('موازنة بدر'!$AU$8:$AU$67,3),'موازنة بدر'!$AU$8:$AU$67,0)),""),"")</f>
        <v/>
      </c>
      <c r="I54" s="48">
        <f>IFERROR(IF(OR(H54="",N(C7)=0),"",H54/C7),"")</f>
        <v/>
      </c>
      <c r="J54" s="23">
        <f>IFERROR(IF(LARGE('موازنة بدر'!$AU$8:$AU$67,3)&gt;=0.5,INDEX('موازنة بدر'!$B$8:$B$67,MATCH(LARGE('موازنة بدر'!$AU$8:$AU$67,3),'موازنة بدر'!$AU$8:$AU$67,0)),""),"")</f>
        <v/>
      </c>
      <c r="K54" s="44">
        <f>IFERROR(IF(LARGE('موازنة بدر'!$AU$8:$AU$67,3)&gt;=0.5,INDEX('موازنة بدر'!$AP$8:$AP$67,MATCH(LARGE('موازنة بدر'!$AU$8:$AU$67,3),'موازنة بدر'!$AU$8:$AU$67,0)),""),"")</f>
        <v/>
      </c>
    </row>
    <row r="55">
      <c r="A55" s="43">
        <f>IFERROR(IF(LARGE('موازنة دمياط'!$AU$8:$AU$67,4)&gt;=0.5,INDEX('موازنة دمياط'!$A$8:$A$67,MATCH(LARGE('موازنة دمياط'!$AU$8:$AU$67,4),'موازنة دمياط'!$AU$8:$AU$67,0)),""),"")</f>
        <v/>
      </c>
      <c r="B55" s="23">
        <f>IFERROR(IF(LARGE('موازنة دمياط'!$AU$8:$AU$67,4)&gt;=0.5,INDEX('موازنة دمياط'!$AO$8:$AO$67,MATCH(LARGE('موازنة دمياط'!$AU$8:$AU$67,4),'موازنة دمياط'!$AU$8:$AU$67,0)),""),"")</f>
        <v/>
      </c>
      <c r="C55" s="48">
        <f>IFERROR(IF(OR(B55="",N(C6)=0),"",B55/C6),"")</f>
        <v/>
      </c>
      <c r="D55" s="23">
        <f>IFERROR(IF(LARGE('موازنة دمياط'!$AU$8:$AU$67,4)&gt;=0.5,INDEX('موازنة دمياط'!$B$8:$B$67,MATCH(LARGE('موازنة دمياط'!$AU$8:$AU$67,4),'موازنة دمياط'!$AU$8:$AU$67,0)),""),"")</f>
        <v/>
      </c>
      <c r="E55" s="44">
        <f>IFERROR(IF(LARGE('موازنة دمياط'!$AU$8:$AU$67,4)&gt;=0.5,INDEX('موازنة دمياط'!$AP$8:$AP$67,MATCH(LARGE('موازنة دمياط'!$AU$8:$AU$67,4),'موازنة دمياط'!$AU$8:$AU$67,0)),""),"")</f>
        <v/>
      </c>
      <c r="G55" s="43">
        <f>IFERROR(IF(LARGE('موازنة بدر'!$AU$8:$AU$67,4)&gt;=0.5,INDEX('موازنة بدر'!$A$8:$A$67,MATCH(LARGE('موازنة بدر'!$AU$8:$AU$67,4),'موازنة بدر'!$AU$8:$AU$67,0)),""),"")</f>
        <v/>
      </c>
      <c r="H55" s="23">
        <f>IFERROR(IF(LARGE('موازنة بدر'!$AU$8:$AU$67,4)&gt;=0.5,INDEX('موازنة بدر'!$AO$8:$AO$67,MATCH(LARGE('موازنة بدر'!$AU$8:$AU$67,4),'موازنة بدر'!$AU$8:$AU$67,0)),""),"")</f>
        <v/>
      </c>
      <c r="I55" s="48">
        <f>IFERROR(IF(OR(H55="",N(C7)=0),"",H55/C7),"")</f>
        <v/>
      </c>
      <c r="J55" s="23">
        <f>IFERROR(IF(LARGE('موازنة بدر'!$AU$8:$AU$67,4)&gt;=0.5,INDEX('موازنة بدر'!$B$8:$B$67,MATCH(LARGE('موازنة بدر'!$AU$8:$AU$67,4),'موازنة بدر'!$AU$8:$AU$67,0)),""),"")</f>
        <v/>
      </c>
      <c r="K55" s="44">
        <f>IFERROR(IF(LARGE('موازنة بدر'!$AU$8:$AU$67,4)&gt;=0.5,INDEX('موازنة بدر'!$AP$8:$AP$67,MATCH(LARGE('موازنة بدر'!$AU$8:$AU$67,4),'موازنة بدر'!$AU$8:$AU$67,0)),""),"")</f>
        <v/>
      </c>
    </row>
    <row r="56">
      <c r="A56" s="43">
        <f>IFERROR(IF(LARGE('موازنة دمياط'!$AU$8:$AU$67,5)&gt;=0.5,INDEX('موازنة دمياط'!$A$8:$A$67,MATCH(LARGE('موازنة دمياط'!$AU$8:$AU$67,5),'موازنة دمياط'!$AU$8:$AU$67,0)),""),"")</f>
        <v/>
      </c>
      <c r="B56" s="23">
        <f>IFERROR(IF(LARGE('موازنة دمياط'!$AU$8:$AU$67,5)&gt;=0.5,INDEX('موازنة دمياط'!$AO$8:$AO$67,MATCH(LARGE('موازنة دمياط'!$AU$8:$AU$67,5),'موازنة دمياط'!$AU$8:$AU$67,0)),""),"")</f>
        <v/>
      </c>
      <c r="C56" s="48">
        <f>IFERROR(IF(OR(B56="",N(C6)=0),"",B56/C6),"")</f>
        <v/>
      </c>
      <c r="D56" s="23">
        <f>IFERROR(IF(LARGE('موازنة دمياط'!$AU$8:$AU$67,5)&gt;=0.5,INDEX('موازنة دمياط'!$B$8:$B$67,MATCH(LARGE('موازنة دمياط'!$AU$8:$AU$67,5),'موازنة دمياط'!$AU$8:$AU$67,0)),""),"")</f>
        <v/>
      </c>
      <c r="E56" s="44">
        <f>IFERROR(IF(LARGE('موازنة دمياط'!$AU$8:$AU$67,5)&gt;=0.5,INDEX('موازنة دمياط'!$AP$8:$AP$67,MATCH(LARGE('موازنة دمياط'!$AU$8:$AU$67,5),'موازنة دمياط'!$AU$8:$AU$67,0)),""),"")</f>
        <v/>
      </c>
      <c r="G56" s="43">
        <f>IFERROR(IF(LARGE('موازنة بدر'!$AU$8:$AU$67,5)&gt;=0.5,INDEX('موازنة بدر'!$A$8:$A$67,MATCH(LARGE('موازنة بدر'!$AU$8:$AU$67,5),'موازنة بدر'!$AU$8:$AU$67,0)),""),"")</f>
        <v/>
      </c>
      <c r="H56" s="23">
        <f>IFERROR(IF(LARGE('موازنة بدر'!$AU$8:$AU$67,5)&gt;=0.5,INDEX('موازنة بدر'!$AO$8:$AO$67,MATCH(LARGE('موازنة بدر'!$AU$8:$AU$67,5),'موازنة بدر'!$AU$8:$AU$67,0)),""),"")</f>
        <v/>
      </c>
      <c r="I56" s="48">
        <f>IFERROR(IF(OR(H56="",N(C7)=0),"",H56/C7),"")</f>
        <v/>
      </c>
      <c r="J56" s="23">
        <f>IFERROR(IF(LARGE('موازنة بدر'!$AU$8:$AU$67,5)&gt;=0.5,INDEX('موازنة بدر'!$B$8:$B$67,MATCH(LARGE('موازنة بدر'!$AU$8:$AU$67,5),'موازنة بدر'!$AU$8:$AU$67,0)),""),"")</f>
        <v/>
      </c>
      <c r="K56" s="44">
        <f>IFERROR(IF(LARGE('موازنة بدر'!$AU$8:$AU$67,5)&gt;=0.5,INDEX('موازنة بدر'!$AP$8:$AP$67,MATCH(LARGE('موازنة بدر'!$AU$8:$AU$67,5),'موازنة بدر'!$AU$8:$AU$67,0)),""),"")</f>
        <v/>
      </c>
    </row>
    <row r="57">
      <c r="A57" s="46" t="inlineStr">
        <is>
          <t>تظهر القائمة عند تسجيل مصروفات معتمدة في ملف العهد والمصروفات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1" password="ECB1"/>
  <mergeCells count="13">
    <mergeCell ref="A30:E30"/>
    <mergeCell ref="A2:L2"/>
    <mergeCell ref="A50:E50"/>
    <mergeCell ref="G30:K30"/>
    <mergeCell ref="A29:K29"/>
    <mergeCell ref="A1:L1"/>
    <mergeCell ref="G50:K50"/>
    <mergeCell ref="A49:K49"/>
    <mergeCell ref="E12:G12"/>
    <mergeCell ref="H12:J12"/>
    <mergeCell ref="A4:F4"/>
    <mergeCell ref="B12:D12"/>
    <mergeCell ref="A11:J11"/>
  </mergeCells>
  <conditionalFormatting sqref="D6:D8">
    <cfRule type="expression" priority="1" dxfId="0">
      <formula>D6&lt;0</formula>
    </cfRule>
  </conditionalFormatting>
  <conditionalFormatting sqref="D14:D26">
    <cfRule type="expression" priority="2" dxfId="0">
      <formula>D14&lt;0</formula>
    </cfRule>
  </conditionalFormatting>
  <conditionalFormatting sqref="G14:G26">
    <cfRule type="expression" priority="3" dxfId="0">
      <formula>G14&lt;0</formula>
    </cfRule>
  </conditionalFormatting>
  <conditionalFormatting sqref="J14:J26">
    <cfRule type="expression" priority="4" dxfId="0">
      <formula>J14&lt;0</formula>
    </cfRule>
  </conditionalFormatting>
  <conditionalFormatting sqref="D32:D46">
    <cfRule type="expression" priority="5" dxfId="0">
      <formula>AND(ISNUMBER(D32),D32&lt;0)</formula>
    </cfRule>
  </conditionalFormatting>
  <conditionalFormatting sqref="J32:J46">
    <cfRule type="expression" priority="6" dxfId="0">
      <formula>AND(ISNUMBER(J32),J32&lt;0)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2026-10-02T21:13:18Z</dcterms:created>
  <dcterms:modified xmlns:dcterms="http://purl.org/dc/terms/" xmlns:xsi="http://www.w3.org/2001/XMLSchema-instance" xsi:type="dcterms:W3CDTF">2026-10-02T21:13:19Z</dcterms:modified>
</cp:coreProperties>
</file>